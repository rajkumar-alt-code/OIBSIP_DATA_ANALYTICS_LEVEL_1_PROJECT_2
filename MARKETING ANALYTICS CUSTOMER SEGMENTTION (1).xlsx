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2\EXCELCNV\fd0343cf-f87a-4565-9fef-d1a25e6f4f29\"/>
    </mc:Choice>
  </mc:AlternateContent>
  <xr:revisionPtr revIDLastSave="0" documentId="8_{207623EC-7898-4CD4-A7C1-7552DD2E9DDC}" xr6:coauthVersionLast="47" xr6:coauthVersionMax="47" xr10:uidLastSave="{00000000-0000-0000-0000-000000000000}"/>
  <bookViews>
    <workbookView xWindow="-60" yWindow="-60" windowWidth="15480" windowHeight="11640" xr2:uid="{283A47FC-0ADF-4B42-8037-AC5BED65B8E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" l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L2" i="1"/>
  <c r="AO2" i="1" s="1"/>
  <c r="AL3" i="1"/>
  <c r="AO3" i="1" s="1"/>
  <c r="AL4" i="1"/>
  <c r="AO4" i="1" s="1"/>
  <c r="AL5" i="1"/>
  <c r="AO5" i="1" s="1"/>
  <c r="AL6" i="1"/>
  <c r="AO6" i="1" s="1"/>
  <c r="AL7" i="1"/>
  <c r="AO7" i="1" s="1"/>
  <c r="AL8" i="1"/>
  <c r="AO8" i="1" s="1"/>
  <c r="AL9" i="1"/>
  <c r="AO9" i="1" s="1"/>
  <c r="AL10" i="1"/>
  <c r="AO10" i="1" s="1"/>
  <c r="AL11" i="1"/>
  <c r="AO11" i="1" s="1"/>
  <c r="AL12" i="1"/>
  <c r="AO12" i="1" s="1"/>
  <c r="AL13" i="1"/>
  <c r="AO13" i="1" s="1"/>
  <c r="AL14" i="1"/>
  <c r="AO14" i="1" s="1"/>
  <c r="AL15" i="1"/>
  <c r="AO15" i="1" s="1"/>
  <c r="AL16" i="1"/>
  <c r="AO16" i="1" s="1"/>
  <c r="AL17" i="1"/>
  <c r="AO17" i="1" s="1"/>
  <c r="AL18" i="1"/>
  <c r="AO18" i="1" s="1"/>
  <c r="AL19" i="1"/>
  <c r="AO19" i="1" s="1"/>
  <c r="AL20" i="1"/>
  <c r="AO20" i="1" s="1"/>
  <c r="AL21" i="1"/>
  <c r="AO21" i="1" s="1"/>
  <c r="AL22" i="1"/>
  <c r="AO22" i="1" s="1"/>
  <c r="AL23" i="1"/>
  <c r="AO23" i="1" s="1"/>
  <c r="AL24" i="1"/>
  <c r="AO24" i="1" s="1"/>
  <c r="AL25" i="1"/>
  <c r="AO25" i="1" s="1"/>
  <c r="AL26" i="1"/>
  <c r="AO26" i="1" s="1"/>
  <c r="AL27" i="1"/>
  <c r="AO27" i="1" s="1"/>
  <c r="AL28" i="1"/>
  <c r="AO28" i="1" s="1"/>
  <c r="AL29" i="1"/>
  <c r="AO29" i="1" s="1"/>
  <c r="AL30" i="1"/>
  <c r="AO30" i="1" s="1"/>
  <c r="AL31" i="1"/>
  <c r="AO31" i="1" s="1"/>
  <c r="AL32" i="1"/>
  <c r="AO32" i="1" s="1"/>
  <c r="AL33" i="1"/>
  <c r="AO33" i="1" s="1"/>
  <c r="AL34" i="1"/>
  <c r="AO34" i="1" s="1"/>
  <c r="AL35" i="1"/>
  <c r="AO35" i="1" s="1"/>
  <c r="AL36" i="1"/>
  <c r="AO36" i="1" s="1"/>
  <c r="AL37" i="1"/>
  <c r="AO37" i="1" s="1"/>
  <c r="AL38" i="1"/>
  <c r="AO38" i="1" s="1"/>
  <c r="AL39" i="1"/>
  <c r="AO39" i="1" s="1"/>
  <c r="AL40" i="1"/>
  <c r="AO40" i="1" s="1"/>
  <c r="AL41" i="1"/>
  <c r="AO41" i="1" s="1"/>
  <c r="AL42" i="1"/>
  <c r="AO42" i="1" s="1"/>
  <c r="AL43" i="1"/>
  <c r="AO43" i="1" s="1"/>
  <c r="AL44" i="1"/>
  <c r="AO44" i="1" s="1"/>
  <c r="AL45" i="1"/>
  <c r="AO45" i="1" s="1"/>
  <c r="AL46" i="1"/>
  <c r="AO46" i="1" s="1"/>
  <c r="AL47" i="1"/>
  <c r="AO47" i="1" s="1"/>
  <c r="AL48" i="1"/>
  <c r="AO48" i="1" s="1"/>
  <c r="AL49" i="1"/>
  <c r="AO49" i="1" s="1"/>
  <c r="AL50" i="1"/>
  <c r="AO50" i="1" s="1"/>
  <c r="AL51" i="1"/>
  <c r="AO51" i="1" s="1"/>
  <c r="AL52" i="1"/>
  <c r="AO52" i="1" s="1"/>
  <c r="AL53" i="1"/>
  <c r="AO53" i="1" s="1"/>
  <c r="AL54" i="1"/>
  <c r="AO54" i="1" s="1"/>
  <c r="AL55" i="1"/>
  <c r="AO55" i="1" s="1"/>
  <c r="AL56" i="1"/>
  <c r="AO56" i="1" s="1"/>
  <c r="AL57" i="1"/>
  <c r="AO57" i="1" s="1"/>
  <c r="AL58" i="1"/>
  <c r="AO58" i="1" s="1"/>
  <c r="AL59" i="1"/>
  <c r="AO59" i="1" s="1"/>
  <c r="AL60" i="1"/>
  <c r="AO60" i="1" s="1"/>
  <c r="AL61" i="1"/>
  <c r="AO61" i="1" s="1"/>
  <c r="AL62" i="1"/>
  <c r="AO62" i="1" s="1"/>
  <c r="AL63" i="1"/>
  <c r="AO63" i="1" s="1"/>
  <c r="AL64" i="1"/>
  <c r="AO64" i="1" s="1"/>
  <c r="AL65" i="1"/>
  <c r="AO65" i="1" s="1"/>
  <c r="AL66" i="1"/>
  <c r="AO66" i="1" s="1"/>
  <c r="AL67" i="1"/>
  <c r="AO67" i="1" s="1"/>
  <c r="AL68" i="1"/>
  <c r="AO68" i="1" s="1"/>
  <c r="AL69" i="1"/>
  <c r="AO69" i="1" s="1"/>
  <c r="AL70" i="1"/>
  <c r="AO70" i="1" s="1"/>
  <c r="AL71" i="1"/>
  <c r="AO71" i="1" s="1"/>
  <c r="AL72" i="1"/>
  <c r="AO72" i="1" s="1"/>
  <c r="AL73" i="1"/>
  <c r="AO73" i="1" s="1"/>
  <c r="AL74" i="1"/>
  <c r="AO74" i="1" s="1"/>
  <c r="AL75" i="1"/>
  <c r="AO75" i="1" s="1"/>
  <c r="AL76" i="1"/>
  <c r="AO76" i="1" s="1"/>
  <c r="AL77" i="1"/>
  <c r="AO77" i="1" s="1"/>
  <c r="AL78" i="1"/>
  <c r="AO78" i="1" s="1"/>
  <c r="AL79" i="1"/>
  <c r="AO79" i="1" s="1"/>
  <c r="AL80" i="1"/>
  <c r="AO80" i="1" s="1"/>
  <c r="AL81" i="1"/>
  <c r="AO81" i="1" s="1"/>
  <c r="AL82" i="1"/>
  <c r="AO82" i="1" s="1"/>
  <c r="AL83" i="1"/>
  <c r="AO83" i="1" s="1"/>
  <c r="AL84" i="1"/>
  <c r="AO84" i="1" s="1"/>
  <c r="AL85" i="1"/>
  <c r="AO85" i="1" s="1"/>
  <c r="AL86" i="1"/>
  <c r="AO86" i="1" s="1"/>
  <c r="AL87" i="1"/>
  <c r="AO87" i="1" s="1"/>
  <c r="AL88" i="1"/>
  <c r="AO88" i="1" s="1"/>
  <c r="AL89" i="1"/>
  <c r="AO89" i="1" s="1"/>
  <c r="AL90" i="1"/>
  <c r="AO90" i="1" s="1"/>
  <c r="AL91" i="1"/>
  <c r="AO91" i="1" s="1"/>
  <c r="AL92" i="1"/>
  <c r="AO92" i="1" s="1"/>
  <c r="AL93" i="1"/>
  <c r="AO93" i="1" s="1"/>
  <c r="AL94" i="1"/>
  <c r="AO94" i="1" s="1"/>
  <c r="AL95" i="1"/>
  <c r="AO95" i="1" s="1"/>
  <c r="AL96" i="1"/>
  <c r="AO96" i="1" s="1"/>
  <c r="AL97" i="1"/>
  <c r="AO97" i="1" s="1"/>
  <c r="AL98" i="1"/>
  <c r="AO98" i="1" s="1"/>
  <c r="AL99" i="1"/>
  <c r="AO99" i="1" s="1"/>
  <c r="AL100" i="1"/>
  <c r="AO100" i="1" s="1"/>
  <c r="AL101" i="1"/>
  <c r="AO101" i="1" s="1"/>
  <c r="AL102" i="1"/>
  <c r="AO102" i="1" s="1"/>
  <c r="AL103" i="1"/>
  <c r="AO103" i="1" s="1"/>
  <c r="AL104" i="1"/>
  <c r="AO104" i="1" s="1"/>
  <c r="AL105" i="1"/>
  <c r="AO105" i="1" s="1"/>
  <c r="AL106" i="1"/>
  <c r="AO106" i="1" s="1"/>
  <c r="AL107" i="1"/>
  <c r="AO107" i="1" s="1"/>
  <c r="AL108" i="1"/>
  <c r="AO108" i="1" s="1"/>
  <c r="AL109" i="1"/>
  <c r="AO109" i="1" s="1"/>
  <c r="AL110" i="1"/>
  <c r="AO110" i="1" s="1"/>
  <c r="AL111" i="1"/>
  <c r="AO111" i="1" s="1"/>
  <c r="AL112" i="1"/>
  <c r="AO112" i="1" s="1"/>
  <c r="AL113" i="1"/>
  <c r="AO113" i="1" s="1"/>
  <c r="AL114" i="1"/>
  <c r="AO114" i="1" s="1"/>
  <c r="AL115" i="1"/>
  <c r="AO115" i="1" s="1"/>
  <c r="AL116" i="1"/>
  <c r="AO116" i="1" s="1"/>
  <c r="AL117" i="1"/>
  <c r="AO117" i="1" s="1"/>
  <c r="AL118" i="1"/>
  <c r="AO118" i="1" s="1"/>
  <c r="AL119" i="1"/>
  <c r="AO119" i="1" s="1"/>
  <c r="AL120" i="1"/>
  <c r="AO120" i="1" s="1"/>
  <c r="AL121" i="1"/>
  <c r="AO121" i="1" s="1"/>
  <c r="AL122" i="1"/>
  <c r="AO122" i="1" s="1"/>
  <c r="AL123" i="1"/>
  <c r="AO123" i="1" s="1"/>
  <c r="AL124" i="1"/>
  <c r="AO124" i="1" s="1"/>
  <c r="AL125" i="1"/>
  <c r="AO125" i="1" s="1"/>
  <c r="AL126" i="1"/>
  <c r="AO126" i="1" s="1"/>
  <c r="AL127" i="1"/>
  <c r="AO127" i="1" s="1"/>
  <c r="AL128" i="1"/>
  <c r="AO128" i="1" s="1"/>
  <c r="AL129" i="1"/>
  <c r="AO129" i="1" s="1"/>
  <c r="AL130" i="1"/>
  <c r="AO130" i="1" s="1"/>
  <c r="AL131" i="1"/>
  <c r="AO131" i="1" s="1"/>
  <c r="AL132" i="1"/>
  <c r="AO132" i="1" s="1"/>
  <c r="AL133" i="1"/>
  <c r="AO133" i="1" s="1"/>
  <c r="AL134" i="1"/>
  <c r="AO134" i="1" s="1"/>
  <c r="AL135" i="1"/>
  <c r="AO135" i="1" s="1"/>
  <c r="AL136" i="1"/>
  <c r="AO136" i="1" s="1"/>
  <c r="AL137" i="1"/>
  <c r="AO137" i="1" s="1"/>
  <c r="AL138" i="1"/>
  <c r="AO138" i="1" s="1"/>
  <c r="AL139" i="1"/>
  <c r="AO139" i="1" s="1"/>
  <c r="AL140" i="1"/>
  <c r="AO140" i="1" s="1"/>
  <c r="AL141" i="1"/>
  <c r="AO141" i="1" s="1"/>
  <c r="AL142" i="1"/>
  <c r="AO142" i="1" s="1"/>
  <c r="AL143" i="1"/>
  <c r="AO143" i="1" s="1"/>
  <c r="AL144" i="1"/>
  <c r="AO144" i="1" s="1"/>
  <c r="AL145" i="1"/>
  <c r="AO145" i="1" s="1"/>
  <c r="AL146" i="1"/>
  <c r="AO146" i="1" s="1"/>
  <c r="AL147" i="1"/>
  <c r="AO147" i="1" s="1"/>
  <c r="AL148" i="1"/>
  <c r="AO148" i="1" s="1"/>
  <c r="AL149" i="1"/>
  <c r="AO149" i="1" s="1"/>
  <c r="AL150" i="1"/>
  <c r="AO150" i="1" s="1"/>
  <c r="AL151" i="1"/>
  <c r="AO151" i="1" s="1"/>
  <c r="AL152" i="1"/>
  <c r="AO152" i="1" s="1"/>
  <c r="AL153" i="1"/>
  <c r="AO153" i="1" s="1"/>
  <c r="AL154" i="1"/>
  <c r="AO154" i="1" s="1"/>
  <c r="AL155" i="1"/>
  <c r="AO155" i="1" s="1"/>
  <c r="AL156" i="1"/>
  <c r="AO156" i="1" s="1"/>
  <c r="AL157" i="1"/>
  <c r="AO157" i="1" s="1"/>
  <c r="AL158" i="1"/>
  <c r="AO158" i="1" s="1"/>
  <c r="AL159" i="1"/>
  <c r="AO159" i="1" s="1"/>
  <c r="AL160" i="1"/>
  <c r="AO160" i="1" s="1"/>
  <c r="AL161" i="1"/>
  <c r="AO161" i="1" s="1"/>
  <c r="AL162" i="1"/>
  <c r="AO162" i="1" s="1"/>
  <c r="AL163" i="1"/>
  <c r="AO163" i="1" s="1"/>
  <c r="AL164" i="1"/>
  <c r="AO164" i="1" s="1"/>
  <c r="AL165" i="1"/>
  <c r="AO165" i="1" s="1"/>
  <c r="AL166" i="1"/>
  <c r="AO166" i="1" s="1"/>
  <c r="AL167" i="1"/>
  <c r="AO167" i="1" s="1"/>
  <c r="AL168" i="1"/>
  <c r="AO168" i="1" s="1"/>
  <c r="AL169" i="1"/>
  <c r="AO169" i="1" s="1"/>
  <c r="AL170" i="1"/>
  <c r="AO170" i="1" s="1"/>
  <c r="AL171" i="1"/>
  <c r="AO171" i="1" s="1"/>
  <c r="AL172" i="1"/>
  <c r="AO172" i="1" s="1"/>
  <c r="AL173" i="1"/>
  <c r="AO173" i="1" s="1"/>
  <c r="AL174" i="1"/>
  <c r="AO174" i="1" s="1"/>
  <c r="AL175" i="1"/>
  <c r="AO175" i="1" s="1"/>
  <c r="AL176" i="1"/>
  <c r="AO176" i="1" s="1"/>
  <c r="AL177" i="1"/>
  <c r="AO177" i="1" s="1"/>
  <c r="AL178" i="1"/>
  <c r="AO178" i="1" s="1"/>
  <c r="AL179" i="1"/>
  <c r="AO179" i="1" s="1"/>
  <c r="AL180" i="1"/>
  <c r="AO180" i="1" s="1"/>
  <c r="AL181" i="1"/>
  <c r="AO181" i="1" s="1"/>
  <c r="AL182" i="1"/>
  <c r="AO182" i="1" s="1"/>
  <c r="AL183" i="1"/>
  <c r="AO183" i="1" s="1"/>
  <c r="AL184" i="1"/>
  <c r="AO184" i="1" s="1"/>
  <c r="AL185" i="1"/>
  <c r="AO185" i="1" s="1"/>
  <c r="AL186" i="1"/>
  <c r="AO186" i="1" s="1"/>
  <c r="AL187" i="1"/>
  <c r="AO187" i="1" s="1"/>
  <c r="AL188" i="1"/>
  <c r="AO188" i="1" s="1"/>
  <c r="AL189" i="1"/>
  <c r="AO189" i="1" s="1"/>
  <c r="AL190" i="1"/>
  <c r="AO190" i="1" s="1"/>
  <c r="AL191" i="1"/>
  <c r="AO191" i="1" s="1"/>
  <c r="AL192" i="1"/>
  <c r="AO192" i="1" s="1"/>
  <c r="AL193" i="1"/>
  <c r="AO193" i="1" s="1"/>
  <c r="AL194" i="1"/>
  <c r="AO194" i="1" s="1"/>
  <c r="AL195" i="1"/>
  <c r="AO195" i="1" s="1"/>
  <c r="AL196" i="1"/>
  <c r="AO196" i="1" s="1"/>
  <c r="AL197" i="1"/>
  <c r="AO197" i="1" s="1"/>
  <c r="AL198" i="1"/>
  <c r="AO198" i="1" s="1"/>
  <c r="AL199" i="1"/>
  <c r="AO199" i="1" s="1"/>
  <c r="AL200" i="1"/>
  <c r="AO200" i="1" s="1"/>
  <c r="AL201" i="1"/>
  <c r="AO201" i="1" s="1"/>
  <c r="AL202" i="1"/>
  <c r="AO202" i="1" s="1"/>
  <c r="AL203" i="1"/>
  <c r="AO203" i="1" s="1"/>
  <c r="AL204" i="1"/>
  <c r="AO204" i="1" s="1"/>
  <c r="AL205" i="1"/>
  <c r="AO205" i="1" s="1"/>
  <c r="AL206" i="1"/>
  <c r="AO206" i="1" s="1"/>
  <c r="AL207" i="1"/>
  <c r="AO207" i="1" s="1"/>
  <c r="AL208" i="1"/>
  <c r="AO208" i="1" s="1"/>
  <c r="AL209" i="1"/>
  <c r="AO209" i="1" s="1"/>
  <c r="AL210" i="1"/>
  <c r="AO210" i="1" s="1"/>
  <c r="AL211" i="1"/>
  <c r="AO211" i="1" s="1"/>
  <c r="AL212" i="1"/>
  <c r="AO212" i="1" s="1"/>
  <c r="AL213" i="1"/>
  <c r="AO213" i="1" s="1"/>
  <c r="AL214" i="1"/>
  <c r="AO214" i="1" s="1"/>
  <c r="AL215" i="1"/>
  <c r="AO215" i="1" s="1"/>
  <c r="AL216" i="1"/>
  <c r="AO216" i="1" s="1"/>
  <c r="AL217" i="1"/>
  <c r="AO217" i="1" s="1"/>
  <c r="AL218" i="1"/>
  <c r="AO218" i="1" s="1"/>
  <c r="AL219" i="1"/>
  <c r="AO219" i="1" s="1"/>
  <c r="AL220" i="1"/>
  <c r="AO220" i="1" s="1"/>
  <c r="AL221" i="1"/>
  <c r="AO221" i="1" s="1"/>
  <c r="AL222" i="1"/>
  <c r="AO222" i="1" s="1"/>
  <c r="AL223" i="1"/>
  <c r="AO223" i="1" s="1"/>
  <c r="AL224" i="1"/>
  <c r="AO224" i="1" s="1"/>
  <c r="AL225" i="1"/>
  <c r="AO225" i="1" s="1"/>
  <c r="AL226" i="1"/>
  <c r="AO226" i="1" s="1"/>
  <c r="AL227" i="1"/>
  <c r="AO227" i="1" s="1"/>
  <c r="AL228" i="1"/>
  <c r="AO228" i="1" s="1"/>
  <c r="AL229" i="1"/>
  <c r="AO229" i="1" s="1"/>
  <c r="AL230" i="1"/>
  <c r="AO230" i="1" s="1"/>
  <c r="AL231" i="1"/>
  <c r="AO231" i="1" s="1"/>
  <c r="AL232" i="1"/>
  <c r="AO232" i="1" s="1"/>
  <c r="AL233" i="1"/>
  <c r="AO233" i="1" s="1"/>
  <c r="AL234" i="1"/>
  <c r="AO234" i="1" s="1"/>
  <c r="AL235" i="1"/>
  <c r="AO235" i="1" s="1"/>
  <c r="AL236" i="1"/>
  <c r="AO236" i="1" s="1"/>
  <c r="AL237" i="1"/>
  <c r="AO237" i="1" s="1"/>
  <c r="AL238" i="1"/>
  <c r="AO238" i="1" s="1"/>
  <c r="AL239" i="1"/>
  <c r="AO239" i="1" s="1"/>
  <c r="AL240" i="1"/>
  <c r="AO240" i="1" s="1"/>
  <c r="AL241" i="1"/>
  <c r="AO241" i="1" s="1"/>
  <c r="AL242" i="1"/>
  <c r="AO242" i="1" s="1"/>
  <c r="AL243" i="1"/>
  <c r="AO243" i="1" s="1"/>
  <c r="AL244" i="1"/>
  <c r="AO244" i="1" s="1"/>
  <c r="AL245" i="1"/>
  <c r="AO245" i="1" s="1"/>
  <c r="AL246" i="1"/>
  <c r="AO246" i="1" s="1"/>
  <c r="AL247" i="1"/>
  <c r="AO247" i="1" s="1"/>
  <c r="AL248" i="1"/>
  <c r="AO248" i="1" s="1"/>
  <c r="AL249" i="1"/>
  <c r="AO249" i="1" s="1"/>
  <c r="AL250" i="1"/>
  <c r="AO250" i="1" s="1"/>
  <c r="AL251" i="1"/>
  <c r="AO251" i="1" s="1"/>
  <c r="AL252" i="1"/>
  <c r="AO252" i="1" s="1"/>
  <c r="AL253" i="1"/>
  <c r="AO253" i="1" s="1"/>
  <c r="AL254" i="1"/>
  <c r="AO254" i="1" s="1"/>
  <c r="AL255" i="1"/>
  <c r="AO255" i="1" s="1"/>
  <c r="AL256" i="1"/>
  <c r="AO256" i="1" s="1"/>
  <c r="AL257" i="1"/>
  <c r="AO257" i="1" s="1"/>
  <c r="AL258" i="1"/>
  <c r="AO258" i="1" s="1"/>
  <c r="AL259" i="1"/>
  <c r="AO259" i="1" s="1"/>
  <c r="AL260" i="1"/>
  <c r="AO260" i="1" s="1"/>
  <c r="AL261" i="1"/>
  <c r="AO261" i="1" s="1"/>
  <c r="AL262" i="1"/>
  <c r="AO262" i="1" s="1"/>
  <c r="AL263" i="1"/>
  <c r="AO263" i="1" s="1"/>
  <c r="AL264" i="1"/>
  <c r="AO264" i="1" s="1"/>
  <c r="AL265" i="1"/>
  <c r="AO265" i="1" s="1"/>
  <c r="AL266" i="1"/>
  <c r="AO266" i="1" s="1"/>
  <c r="AL267" i="1"/>
  <c r="AO267" i="1" s="1"/>
  <c r="AL268" i="1"/>
  <c r="AO268" i="1" s="1"/>
  <c r="AL269" i="1"/>
  <c r="AO269" i="1" s="1"/>
  <c r="AL270" i="1"/>
  <c r="AO270" i="1" s="1"/>
  <c r="AL271" i="1"/>
  <c r="AO271" i="1" s="1"/>
  <c r="AL272" i="1"/>
  <c r="AO272" i="1" s="1"/>
  <c r="AL273" i="1"/>
  <c r="AO273" i="1" s="1"/>
  <c r="AL274" i="1"/>
  <c r="AO274" i="1" s="1"/>
  <c r="AL275" i="1"/>
  <c r="AO275" i="1" s="1"/>
  <c r="AL276" i="1"/>
  <c r="AO276" i="1" s="1"/>
  <c r="AL277" i="1"/>
  <c r="AO277" i="1" s="1"/>
  <c r="AL278" i="1"/>
  <c r="AO278" i="1" s="1"/>
  <c r="AL279" i="1"/>
  <c r="AO279" i="1" s="1"/>
  <c r="AL280" i="1"/>
  <c r="AO280" i="1" s="1"/>
  <c r="AL281" i="1"/>
  <c r="AO281" i="1" s="1"/>
  <c r="AL282" i="1"/>
  <c r="AO282" i="1" s="1"/>
  <c r="AL283" i="1"/>
  <c r="AO283" i="1" s="1"/>
  <c r="AL284" i="1"/>
  <c r="AO284" i="1" s="1"/>
  <c r="AL285" i="1"/>
  <c r="AO285" i="1" s="1"/>
  <c r="AL286" i="1"/>
  <c r="AO286" i="1" s="1"/>
  <c r="AL287" i="1"/>
  <c r="AO287" i="1" s="1"/>
  <c r="AL288" i="1"/>
  <c r="AO288" i="1" s="1"/>
  <c r="AL289" i="1"/>
  <c r="AO289" i="1" s="1"/>
  <c r="AL290" i="1"/>
  <c r="AO290" i="1" s="1"/>
  <c r="AL291" i="1"/>
  <c r="AO291" i="1" s="1"/>
  <c r="AL292" i="1"/>
  <c r="AO292" i="1" s="1"/>
  <c r="AL293" i="1"/>
  <c r="AO293" i="1" s="1"/>
  <c r="AL294" i="1"/>
  <c r="AO294" i="1" s="1"/>
  <c r="AL295" i="1"/>
  <c r="AO295" i="1" s="1"/>
  <c r="AL296" i="1"/>
  <c r="AO296" i="1" s="1"/>
  <c r="AL297" i="1"/>
  <c r="AO297" i="1" s="1"/>
  <c r="AL298" i="1"/>
  <c r="AO298" i="1" s="1"/>
  <c r="AL299" i="1"/>
  <c r="AO299" i="1" s="1"/>
  <c r="AL300" i="1"/>
  <c r="AO300" i="1" s="1"/>
  <c r="AL301" i="1"/>
  <c r="AO301" i="1" s="1"/>
  <c r="AL302" i="1"/>
  <c r="AO302" i="1" s="1"/>
  <c r="AL303" i="1"/>
  <c r="AO303" i="1" s="1"/>
  <c r="AL304" i="1"/>
  <c r="AO304" i="1" s="1"/>
  <c r="AL305" i="1"/>
  <c r="AO305" i="1" s="1"/>
  <c r="AL306" i="1"/>
  <c r="AO306" i="1" s="1"/>
  <c r="AL307" i="1"/>
  <c r="AO307" i="1" s="1"/>
  <c r="AL308" i="1"/>
  <c r="AO308" i="1" s="1"/>
  <c r="AL309" i="1"/>
  <c r="AO309" i="1" s="1"/>
  <c r="AL310" i="1"/>
  <c r="AO310" i="1" s="1"/>
  <c r="AL311" i="1"/>
  <c r="AO311" i="1" s="1"/>
  <c r="AL312" i="1"/>
  <c r="AO312" i="1" s="1"/>
  <c r="AL313" i="1"/>
  <c r="AO313" i="1" s="1"/>
  <c r="AL314" i="1"/>
  <c r="AO314" i="1" s="1"/>
  <c r="AL315" i="1"/>
  <c r="AO315" i="1" s="1"/>
  <c r="AL316" i="1"/>
  <c r="AO316" i="1" s="1"/>
  <c r="AL317" i="1"/>
  <c r="AO317" i="1" s="1"/>
  <c r="AL318" i="1"/>
  <c r="AO318" i="1" s="1"/>
  <c r="AL319" i="1"/>
  <c r="AO319" i="1" s="1"/>
  <c r="AL320" i="1"/>
  <c r="AO320" i="1" s="1"/>
  <c r="AL321" i="1"/>
  <c r="AO321" i="1" s="1"/>
  <c r="AL322" i="1"/>
  <c r="AO322" i="1" s="1"/>
  <c r="AL323" i="1"/>
  <c r="AO323" i="1" s="1"/>
  <c r="AL324" i="1"/>
  <c r="AO324" i="1" s="1"/>
  <c r="AL325" i="1"/>
  <c r="AO325" i="1" s="1"/>
  <c r="AL326" i="1"/>
  <c r="AO326" i="1" s="1"/>
  <c r="AL327" i="1"/>
  <c r="AO327" i="1" s="1"/>
  <c r="AL328" i="1"/>
  <c r="AO328" i="1" s="1"/>
  <c r="AL329" i="1"/>
  <c r="AO329" i="1" s="1"/>
  <c r="AL330" i="1"/>
  <c r="AO330" i="1" s="1"/>
  <c r="AL331" i="1"/>
  <c r="AO331" i="1" s="1"/>
  <c r="AL332" i="1"/>
  <c r="AO332" i="1" s="1"/>
  <c r="AL333" i="1"/>
  <c r="AO333" i="1" s="1"/>
  <c r="AL334" i="1"/>
  <c r="AO334" i="1" s="1"/>
  <c r="AL335" i="1"/>
  <c r="AO335" i="1" s="1"/>
  <c r="AL336" i="1"/>
  <c r="AO336" i="1" s="1"/>
  <c r="AL337" i="1"/>
  <c r="AO337" i="1" s="1"/>
  <c r="AL338" i="1"/>
  <c r="AO338" i="1" s="1"/>
  <c r="AL339" i="1"/>
  <c r="AO339" i="1" s="1"/>
  <c r="AL340" i="1"/>
  <c r="AO340" i="1" s="1"/>
  <c r="AL341" i="1"/>
  <c r="AO341" i="1" s="1"/>
  <c r="AL342" i="1"/>
  <c r="AO342" i="1" s="1"/>
  <c r="AL343" i="1"/>
  <c r="AO343" i="1" s="1"/>
  <c r="AL344" i="1"/>
  <c r="AO344" i="1" s="1"/>
  <c r="AL345" i="1"/>
  <c r="AO345" i="1" s="1"/>
  <c r="AL346" i="1"/>
  <c r="AO346" i="1" s="1"/>
  <c r="AL347" i="1"/>
  <c r="AO347" i="1" s="1"/>
  <c r="AL348" i="1"/>
  <c r="AO348" i="1" s="1"/>
  <c r="AL349" i="1"/>
  <c r="AO349" i="1" s="1"/>
  <c r="AL350" i="1"/>
  <c r="AO350" i="1" s="1"/>
  <c r="AL351" i="1"/>
  <c r="AO351" i="1" s="1"/>
  <c r="AL352" i="1"/>
  <c r="AO352" i="1" s="1"/>
  <c r="AL353" i="1"/>
  <c r="AO353" i="1" s="1"/>
  <c r="AL354" i="1"/>
  <c r="AO354" i="1" s="1"/>
  <c r="AL355" i="1"/>
  <c r="AO355" i="1" s="1"/>
  <c r="AL356" i="1"/>
  <c r="AO356" i="1" s="1"/>
  <c r="AL357" i="1"/>
  <c r="AO357" i="1" s="1"/>
  <c r="AL358" i="1"/>
  <c r="AO358" i="1" s="1"/>
  <c r="AL359" i="1"/>
  <c r="AO359" i="1" s="1"/>
  <c r="AL360" i="1"/>
  <c r="AO360" i="1" s="1"/>
  <c r="AL361" i="1"/>
  <c r="AO361" i="1" s="1"/>
  <c r="AL362" i="1"/>
  <c r="AO362" i="1" s="1"/>
  <c r="AL363" i="1"/>
  <c r="AO363" i="1" s="1"/>
  <c r="AL364" i="1"/>
  <c r="AO364" i="1" s="1"/>
  <c r="AL365" i="1"/>
  <c r="AO365" i="1" s="1"/>
  <c r="AL366" i="1"/>
  <c r="AO366" i="1" s="1"/>
  <c r="AL367" i="1"/>
  <c r="AO367" i="1" s="1"/>
  <c r="AL368" i="1"/>
  <c r="AO368" i="1" s="1"/>
  <c r="AL369" i="1"/>
  <c r="AO369" i="1" s="1"/>
  <c r="AL370" i="1"/>
  <c r="AO370" i="1" s="1"/>
  <c r="AL371" i="1"/>
  <c r="AO371" i="1" s="1"/>
  <c r="AL372" i="1"/>
  <c r="AO372" i="1" s="1"/>
  <c r="AL373" i="1"/>
  <c r="AO373" i="1" s="1"/>
  <c r="AL374" i="1"/>
  <c r="AO374" i="1" s="1"/>
  <c r="AL375" i="1"/>
  <c r="AO375" i="1" s="1"/>
  <c r="AL376" i="1"/>
  <c r="AO376" i="1" s="1"/>
  <c r="AL377" i="1"/>
  <c r="AO377" i="1" s="1"/>
  <c r="AL378" i="1"/>
  <c r="AO378" i="1" s="1"/>
  <c r="AL379" i="1"/>
  <c r="AO379" i="1" s="1"/>
  <c r="AL380" i="1"/>
  <c r="AO380" i="1" s="1"/>
  <c r="AL381" i="1"/>
  <c r="AO381" i="1" s="1"/>
  <c r="AL382" i="1"/>
  <c r="AO382" i="1" s="1"/>
  <c r="AL383" i="1"/>
  <c r="AO383" i="1" s="1"/>
  <c r="AL384" i="1"/>
  <c r="AO384" i="1" s="1"/>
  <c r="AL385" i="1"/>
  <c r="AO385" i="1" s="1"/>
  <c r="AL386" i="1"/>
  <c r="AO386" i="1" s="1"/>
  <c r="AL387" i="1"/>
  <c r="AO387" i="1" s="1"/>
  <c r="AL388" i="1"/>
  <c r="AO388" i="1" s="1"/>
  <c r="AL389" i="1"/>
  <c r="AO389" i="1" s="1"/>
  <c r="AL390" i="1"/>
  <c r="AO390" i="1" s="1"/>
  <c r="AL391" i="1"/>
  <c r="AO391" i="1" s="1"/>
  <c r="AL392" i="1"/>
  <c r="AO392" i="1" s="1"/>
  <c r="AL393" i="1"/>
  <c r="AO393" i="1" s="1"/>
  <c r="AL394" i="1"/>
  <c r="AO394" i="1" s="1"/>
  <c r="AL395" i="1"/>
  <c r="AO395" i="1" s="1"/>
  <c r="AL396" i="1"/>
  <c r="AO396" i="1" s="1"/>
  <c r="AL397" i="1"/>
  <c r="AO397" i="1" s="1"/>
  <c r="AL398" i="1"/>
  <c r="AO398" i="1" s="1"/>
  <c r="AL399" i="1"/>
  <c r="AO399" i="1" s="1"/>
  <c r="AL400" i="1"/>
  <c r="AO400" i="1" s="1"/>
  <c r="AL401" i="1"/>
  <c r="AO401" i="1" s="1"/>
  <c r="AL402" i="1"/>
  <c r="AO402" i="1" s="1"/>
  <c r="AL403" i="1"/>
  <c r="AO403" i="1" s="1"/>
  <c r="AL404" i="1"/>
  <c r="AO404" i="1" s="1"/>
  <c r="AL405" i="1"/>
  <c r="AO405" i="1" s="1"/>
  <c r="AL406" i="1"/>
  <c r="AO406" i="1" s="1"/>
  <c r="AL407" i="1"/>
  <c r="AO407" i="1" s="1"/>
  <c r="AL408" i="1"/>
  <c r="AO408" i="1" s="1"/>
  <c r="AL409" i="1"/>
  <c r="AO409" i="1" s="1"/>
  <c r="AL410" i="1"/>
  <c r="AO410" i="1" s="1"/>
  <c r="AL411" i="1"/>
  <c r="AO411" i="1" s="1"/>
  <c r="AL412" i="1"/>
  <c r="AO412" i="1" s="1"/>
  <c r="AL413" i="1"/>
  <c r="AO413" i="1" s="1"/>
  <c r="AL414" i="1"/>
  <c r="AO414" i="1" s="1"/>
  <c r="AL415" i="1"/>
  <c r="AO415" i="1" s="1"/>
  <c r="AL416" i="1"/>
  <c r="AO416" i="1" s="1"/>
  <c r="AL417" i="1"/>
  <c r="AO417" i="1" s="1"/>
  <c r="AL418" i="1"/>
  <c r="AO418" i="1" s="1"/>
  <c r="AL419" i="1"/>
  <c r="AO419" i="1" s="1"/>
  <c r="AL420" i="1"/>
  <c r="AO420" i="1" s="1"/>
  <c r="AL421" i="1"/>
  <c r="AO421" i="1" s="1"/>
  <c r="AL422" i="1"/>
  <c r="AO422" i="1" s="1"/>
  <c r="AL423" i="1"/>
  <c r="AO423" i="1" s="1"/>
  <c r="AL424" i="1"/>
  <c r="AO424" i="1" s="1"/>
  <c r="AL425" i="1"/>
  <c r="AO425" i="1" s="1"/>
  <c r="AL426" i="1"/>
  <c r="AO426" i="1" s="1"/>
  <c r="AL427" i="1"/>
  <c r="AO427" i="1" s="1"/>
  <c r="AL428" i="1"/>
  <c r="AO428" i="1" s="1"/>
  <c r="AL429" i="1"/>
  <c r="AO429" i="1" s="1"/>
  <c r="AL430" i="1"/>
  <c r="AO430" i="1" s="1"/>
  <c r="AL431" i="1"/>
  <c r="AO431" i="1" s="1"/>
  <c r="AL432" i="1"/>
  <c r="AO432" i="1" s="1"/>
  <c r="AL433" i="1"/>
  <c r="AO433" i="1" s="1"/>
  <c r="AL434" i="1"/>
  <c r="AO434" i="1" s="1"/>
  <c r="AL435" i="1"/>
  <c r="AO435" i="1" s="1"/>
  <c r="AL436" i="1"/>
  <c r="AO436" i="1" s="1"/>
  <c r="AL437" i="1"/>
  <c r="AO437" i="1" s="1"/>
  <c r="AL438" i="1"/>
  <c r="AO438" i="1" s="1"/>
  <c r="AL439" i="1"/>
  <c r="AO439" i="1" s="1"/>
  <c r="AL440" i="1"/>
  <c r="AO440" i="1" s="1"/>
  <c r="AL441" i="1"/>
  <c r="AO441" i="1" s="1"/>
  <c r="AL442" i="1"/>
  <c r="AO442" i="1" s="1"/>
  <c r="AL443" i="1"/>
  <c r="AO443" i="1" s="1"/>
  <c r="AL444" i="1"/>
  <c r="AO444" i="1" s="1"/>
  <c r="AL445" i="1"/>
  <c r="AO445" i="1" s="1"/>
  <c r="AL446" i="1"/>
  <c r="AO446" i="1" s="1"/>
  <c r="AL447" i="1"/>
  <c r="AO447" i="1" s="1"/>
  <c r="AL448" i="1"/>
  <c r="AO448" i="1" s="1"/>
  <c r="AL449" i="1"/>
  <c r="AO449" i="1" s="1"/>
  <c r="AL450" i="1"/>
  <c r="AO450" i="1" s="1"/>
  <c r="AL451" i="1"/>
  <c r="AO451" i="1" s="1"/>
  <c r="AL452" i="1"/>
  <c r="AO452" i="1" s="1"/>
  <c r="AL453" i="1"/>
  <c r="AO453" i="1" s="1"/>
  <c r="AL454" i="1"/>
  <c r="AO454" i="1" s="1"/>
  <c r="AL455" i="1"/>
  <c r="AO455" i="1" s="1"/>
  <c r="AL456" i="1"/>
  <c r="AO456" i="1" s="1"/>
  <c r="AL457" i="1"/>
  <c r="AO457" i="1" s="1"/>
  <c r="AL458" i="1"/>
  <c r="AO458" i="1" s="1"/>
  <c r="AL459" i="1"/>
  <c r="AO459" i="1" s="1"/>
  <c r="AL460" i="1"/>
  <c r="AO460" i="1" s="1"/>
  <c r="AL461" i="1"/>
  <c r="AO461" i="1" s="1"/>
  <c r="AL462" i="1"/>
  <c r="AO462" i="1" s="1"/>
  <c r="AL463" i="1"/>
  <c r="AO463" i="1" s="1"/>
  <c r="AL464" i="1"/>
  <c r="AO464" i="1" s="1"/>
  <c r="AL465" i="1"/>
  <c r="AO465" i="1" s="1"/>
  <c r="AL466" i="1"/>
  <c r="AO466" i="1" s="1"/>
  <c r="AL467" i="1"/>
  <c r="AO467" i="1" s="1"/>
  <c r="AL468" i="1"/>
  <c r="AO468" i="1" s="1"/>
  <c r="AL469" i="1"/>
  <c r="AO469" i="1" s="1"/>
  <c r="AL470" i="1"/>
  <c r="AO470" i="1" s="1"/>
  <c r="AL471" i="1"/>
  <c r="AO471" i="1" s="1"/>
  <c r="AL472" i="1"/>
  <c r="AO472" i="1" s="1"/>
  <c r="AL473" i="1"/>
  <c r="AO473" i="1" s="1"/>
  <c r="AL474" i="1"/>
  <c r="AO474" i="1" s="1"/>
  <c r="AL475" i="1"/>
  <c r="AO475" i="1" s="1"/>
  <c r="AL476" i="1"/>
  <c r="AO476" i="1" s="1"/>
  <c r="AL477" i="1"/>
  <c r="AO477" i="1" s="1"/>
  <c r="AL478" i="1"/>
  <c r="AO478" i="1" s="1"/>
  <c r="AL479" i="1"/>
  <c r="AO479" i="1" s="1"/>
  <c r="AL480" i="1"/>
  <c r="AO480" i="1" s="1"/>
  <c r="AL481" i="1"/>
  <c r="AO481" i="1" s="1"/>
  <c r="AL482" i="1"/>
  <c r="AO482" i="1" s="1"/>
  <c r="AL483" i="1"/>
  <c r="AO483" i="1" s="1"/>
  <c r="AL484" i="1"/>
  <c r="AO484" i="1" s="1"/>
  <c r="AL485" i="1"/>
  <c r="AO485" i="1" s="1"/>
  <c r="AL486" i="1"/>
  <c r="AO486" i="1" s="1"/>
  <c r="AL487" i="1"/>
  <c r="AO487" i="1" s="1"/>
  <c r="AL488" i="1"/>
  <c r="AO488" i="1" s="1"/>
  <c r="AL489" i="1"/>
  <c r="AO489" i="1" s="1"/>
  <c r="AL490" i="1"/>
  <c r="AO490" i="1" s="1"/>
  <c r="AL491" i="1"/>
  <c r="AO491" i="1" s="1"/>
  <c r="AL492" i="1"/>
  <c r="AO492" i="1" s="1"/>
  <c r="AL493" i="1"/>
  <c r="AO493" i="1" s="1"/>
  <c r="AL494" i="1"/>
  <c r="AO494" i="1" s="1"/>
  <c r="AL495" i="1"/>
  <c r="AO495" i="1" s="1"/>
  <c r="AL496" i="1"/>
  <c r="AO496" i="1" s="1"/>
  <c r="AL497" i="1"/>
  <c r="AO497" i="1" s="1"/>
  <c r="AL498" i="1"/>
  <c r="AO498" i="1" s="1"/>
  <c r="AL499" i="1"/>
  <c r="AO499" i="1" s="1"/>
  <c r="AL500" i="1"/>
  <c r="AO500" i="1" s="1"/>
  <c r="AL501" i="1"/>
  <c r="AO501" i="1" s="1"/>
  <c r="AL502" i="1"/>
  <c r="AO502" i="1" s="1"/>
  <c r="AL503" i="1"/>
  <c r="AO503" i="1" s="1"/>
  <c r="AL504" i="1"/>
  <c r="AO504" i="1" s="1"/>
  <c r="AL505" i="1"/>
  <c r="AO505" i="1" s="1"/>
  <c r="AL506" i="1"/>
  <c r="AO506" i="1" s="1"/>
  <c r="AL507" i="1"/>
  <c r="AO507" i="1" s="1"/>
  <c r="AL508" i="1"/>
  <c r="AO508" i="1" s="1"/>
  <c r="AL509" i="1"/>
  <c r="AO509" i="1" s="1"/>
  <c r="AL510" i="1"/>
  <c r="AO510" i="1" s="1"/>
  <c r="AL511" i="1"/>
  <c r="AO511" i="1" s="1"/>
  <c r="AL512" i="1"/>
  <c r="AO512" i="1" s="1"/>
  <c r="AL513" i="1"/>
  <c r="AO513" i="1" s="1"/>
  <c r="AL514" i="1"/>
  <c r="AO514" i="1" s="1"/>
  <c r="AL515" i="1"/>
  <c r="AO515" i="1" s="1"/>
  <c r="AL516" i="1"/>
  <c r="AO516" i="1" s="1"/>
  <c r="AL517" i="1"/>
  <c r="AO517" i="1" s="1"/>
  <c r="AL518" i="1"/>
  <c r="AO518" i="1" s="1"/>
  <c r="AL519" i="1"/>
  <c r="AO519" i="1" s="1"/>
  <c r="AL520" i="1"/>
  <c r="AO520" i="1" s="1"/>
  <c r="AL521" i="1"/>
  <c r="AO521" i="1" s="1"/>
  <c r="AL522" i="1"/>
  <c r="AO522" i="1" s="1"/>
  <c r="AL523" i="1"/>
  <c r="AO523" i="1" s="1"/>
  <c r="AL524" i="1"/>
  <c r="AO524" i="1" s="1"/>
  <c r="AL525" i="1"/>
  <c r="AO525" i="1" s="1"/>
  <c r="AL526" i="1"/>
  <c r="AO526" i="1" s="1"/>
  <c r="AL527" i="1"/>
  <c r="AO527" i="1" s="1"/>
  <c r="AL528" i="1"/>
  <c r="AO528" i="1" s="1"/>
  <c r="AL529" i="1"/>
  <c r="AO529" i="1" s="1"/>
  <c r="AL530" i="1"/>
  <c r="AO530" i="1" s="1"/>
  <c r="AL531" i="1"/>
  <c r="AO531" i="1" s="1"/>
  <c r="AL532" i="1"/>
  <c r="AO532" i="1" s="1"/>
  <c r="AL533" i="1"/>
  <c r="AO533" i="1" s="1"/>
  <c r="AL534" i="1"/>
  <c r="AO534" i="1" s="1"/>
  <c r="AL535" i="1"/>
  <c r="AO535" i="1" s="1"/>
  <c r="AL536" i="1"/>
  <c r="AO536" i="1" s="1"/>
  <c r="AL537" i="1"/>
  <c r="AO537" i="1" s="1"/>
  <c r="AL538" i="1"/>
  <c r="AO538" i="1" s="1"/>
  <c r="AL539" i="1"/>
  <c r="AO539" i="1" s="1"/>
  <c r="AL540" i="1"/>
  <c r="AO540" i="1" s="1"/>
  <c r="AL541" i="1"/>
  <c r="AO541" i="1" s="1"/>
  <c r="AL542" i="1"/>
  <c r="AO542" i="1" s="1"/>
  <c r="AL543" i="1"/>
  <c r="AO543" i="1" s="1"/>
  <c r="AL544" i="1"/>
  <c r="AO544" i="1" s="1"/>
  <c r="AL545" i="1"/>
  <c r="AO545" i="1" s="1"/>
  <c r="AL546" i="1"/>
  <c r="AO546" i="1" s="1"/>
  <c r="AL547" i="1"/>
  <c r="AO547" i="1" s="1"/>
  <c r="AL548" i="1"/>
  <c r="AO548" i="1" s="1"/>
  <c r="AL549" i="1"/>
  <c r="AO549" i="1" s="1"/>
  <c r="AL550" i="1"/>
  <c r="AO550" i="1" s="1"/>
  <c r="AL551" i="1"/>
  <c r="AO551" i="1" s="1"/>
  <c r="AL552" i="1"/>
  <c r="AO552" i="1" s="1"/>
  <c r="AL553" i="1"/>
  <c r="AO553" i="1" s="1"/>
  <c r="AL554" i="1"/>
  <c r="AO554" i="1" s="1"/>
  <c r="AL555" i="1"/>
  <c r="AO555" i="1" s="1"/>
  <c r="AL556" i="1"/>
  <c r="AO556" i="1" s="1"/>
  <c r="AL557" i="1"/>
  <c r="AO557" i="1" s="1"/>
  <c r="AL558" i="1"/>
  <c r="AO558" i="1" s="1"/>
  <c r="AL559" i="1"/>
  <c r="AO559" i="1" s="1"/>
  <c r="AL560" i="1"/>
  <c r="AO560" i="1" s="1"/>
  <c r="AL561" i="1"/>
  <c r="AO561" i="1" s="1"/>
  <c r="AL562" i="1"/>
  <c r="AO562" i="1" s="1"/>
  <c r="AL563" i="1"/>
  <c r="AO563" i="1" s="1"/>
  <c r="AL564" i="1"/>
  <c r="AO564" i="1" s="1"/>
  <c r="AL565" i="1"/>
  <c r="AO565" i="1" s="1"/>
  <c r="AL566" i="1"/>
  <c r="AO566" i="1" s="1"/>
  <c r="AL567" i="1"/>
  <c r="AO567" i="1" s="1"/>
  <c r="AL568" i="1"/>
  <c r="AO568" i="1" s="1"/>
  <c r="AL569" i="1"/>
  <c r="AO569" i="1" s="1"/>
  <c r="AL570" i="1"/>
  <c r="AO570" i="1" s="1"/>
  <c r="AL571" i="1"/>
  <c r="AO571" i="1" s="1"/>
  <c r="AL572" i="1"/>
  <c r="AO572" i="1" s="1"/>
  <c r="AL573" i="1"/>
  <c r="AO573" i="1" s="1"/>
  <c r="AL574" i="1"/>
  <c r="AO574" i="1" s="1"/>
  <c r="AL575" i="1"/>
  <c r="AO575" i="1" s="1"/>
  <c r="AL576" i="1"/>
  <c r="AO576" i="1" s="1"/>
  <c r="AL577" i="1"/>
  <c r="AO577" i="1" s="1"/>
  <c r="AL578" i="1"/>
  <c r="AO578" i="1" s="1"/>
  <c r="AL579" i="1"/>
  <c r="AO579" i="1" s="1"/>
  <c r="AL580" i="1"/>
  <c r="AO580" i="1" s="1"/>
  <c r="AL581" i="1"/>
  <c r="AO581" i="1" s="1"/>
  <c r="AL582" i="1"/>
  <c r="AO582" i="1" s="1"/>
  <c r="AL583" i="1"/>
  <c r="AO583" i="1" s="1"/>
  <c r="AL584" i="1"/>
  <c r="AO584" i="1" s="1"/>
  <c r="AL585" i="1"/>
  <c r="AO585" i="1" s="1"/>
  <c r="AL586" i="1"/>
  <c r="AO586" i="1" s="1"/>
  <c r="AL587" i="1"/>
  <c r="AO587" i="1" s="1"/>
  <c r="AL588" i="1"/>
  <c r="AO588" i="1" s="1"/>
  <c r="AL589" i="1"/>
  <c r="AO589" i="1" s="1"/>
  <c r="AL590" i="1"/>
  <c r="AO590" i="1" s="1"/>
  <c r="AL591" i="1"/>
  <c r="AO591" i="1" s="1"/>
  <c r="AL592" i="1"/>
  <c r="AO592" i="1" s="1"/>
  <c r="AL593" i="1"/>
  <c r="AO593" i="1" s="1"/>
  <c r="AL594" i="1"/>
  <c r="AO594" i="1" s="1"/>
  <c r="AL595" i="1"/>
  <c r="AO595" i="1" s="1"/>
  <c r="AL596" i="1"/>
  <c r="AO596" i="1" s="1"/>
  <c r="AL597" i="1"/>
  <c r="AO597" i="1" s="1"/>
  <c r="AL598" i="1"/>
  <c r="AO598" i="1" s="1"/>
  <c r="AL599" i="1"/>
  <c r="AO599" i="1" s="1"/>
  <c r="AL600" i="1"/>
  <c r="AO600" i="1" s="1"/>
  <c r="AL601" i="1"/>
  <c r="AO601" i="1" s="1"/>
  <c r="AL602" i="1"/>
  <c r="AO602" i="1" s="1"/>
  <c r="AL603" i="1"/>
  <c r="AO603" i="1" s="1"/>
  <c r="AL604" i="1"/>
  <c r="AO604" i="1" s="1"/>
  <c r="AL605" i="1"/>
  <c r="AO605" i="1" s="1"/>
  <c r="AL606" i="1"/>
  <c r="AO606" i="1" s="1"/>
  <c r="AL607" i="1"/>
  <c r="AO607" i="1" s="1"/>
  <c r="AL608" i="1"/>
  <c r="AO608" i="1" s="1"/>
  <c r="AL609" i="1"/>
  <c r="AO609" i="1" s="1"/>
  <c r="AL610" i="1"/>
  <c r="AO610" i="1" s="1"/>
  <c r="AL611" i="1"/>
  <c r="AO611" i="1" s="1"/>
  <c r="AL612" i="1"/>
  <c r="AO612" i="1" s="1"/>
  <c r="AL613" i="1"/>
  <c r="AO613" i="1" s="1"/>
  <c r="AL614" i="1"/>
  <c r="AO614" i="1" s="1"/>
  <c r="AL615" i="1"/>
  <c r="AO615" i="1" s="1"/>
  <c r="AL616" i="1"/>
  <c r="AO616" i="1" s="1"/>
  <c r="AL617" i="1"/>
  <c r="AO617" i="1" s="1"/>
  <c r="AL618" i="1"/>
  <c r="AO618" i="1" s="1"/>
  <c r="AL619" i="1"/>
  <c r="AO619" i="1" s="1"/>
  <c r="AL620" i="1"/>
  <c r="AO620" i="1" s="1"/>
  <c r="AL621" i="1"/>
  <c r="AO621" i="1" s="1"/>
  <c r="AL622" i="1"/>
  <c r="AO622" i="1" s="1"/>
  <c r="AL623" i="1"/>
  <c r="AO623" i="1" s="1"/>
  <c r="AL624" i="1"/>
  <c r="AO624" i="1" s="1"/>
  <c r="AL625" i="1"/>
  <c r="AO625" i="1" s="1"/>
  <c r="AL626" i="1"/>
  <c r="AO626" i="1" s="1"/>
  <c r="AL627" i="1"/>
  <c r="AO627" i="1" s="1"/>
  <c r="AL628" i="1"/>
  <c r="AO628" i="1" s="1"/>
  <c r="AL629" i="1"/>
  <c r="AO629" i="1" s="1"/>
  <c r="AL630" i="1"/>
  <c r="AO630" i="1" s="1"/>
  <c r="AL631" i="1"/>
  <c r="AO631" i="1" s="1"/>
  <c r="AL632" i="1"/>
  <c r="AO632" i="1" s="1"/>
  <c r="AL633" i="1"/>
  <c r="AO633" i="1" s="1"/>
  <c r="AL634" i="1"/>
  <c r="AO634" i="1" s="1"/>
  <c r="AL635" i="1"/>
  <c r="AO635" i="1" s="1"/>
  <c r="AL636" i="1"/>
  <c r="AO636" i="1" s="1"/>
  <c r="AL637" i="1"/>
  <c r="AO637" i="1" s="1"/>
  <c r="AL638" i="1"/>
  <c r="AO638" i="1" s="1"/>
  <c r="AL639" i="1"/>
  <c r="AO639" i="1" s="1"/>
  <c r="AL640" i="1"/>
  <c r="AO640" i="1" s="1"/>
  <c r="AL641" i="1"/>
  <c r="AO641" i="1" s="1"/>
  <c r="AL642" i="1"/>
  <c r="AO642" i="1" s="1"/>
  <c r="AL643" i="1"/>
  <c r="AO643" i="1" s="1"/>
  <c r="AL644" i="1"/>
  <c r="AO644" i="1" s="1"/>
  <c r="AL645" i="1"/>
  <c r="AO645" i="1" s="1"/>
  <c r="AL646" i="1"/>
  <c r="AO646" i="1" s="1"/>
  <c r="AL647" i="1"/>
  <c r="AO647" i="1" s="1"/>
  <c r="AL648" i="1"/>
  <c r="AO648" i="1" s="1"/>
  <c r="AL649" i="1"/>
  <c r="AO649" i="1" s="1"/>
  <c r="AL650" i="1"/>
  <c r="AO650" i="1" s="1"/>
  <c r="AL651" i="1"/>
  <c r="AO651" i="1" s="1"/>
  <c r="AL652" i="1"/>
  <c r="AO652" i="1" s="1"/>
  <c r="AL653" i="1"/>
  <c r="AO653" i="1" s="1"/>
  <c r="AL654" i="1"/>
  <c r="AO654" i="1" s="1"/>
  <c r="AL655" i="1"/>
  <c r="AO655" i="1" s="1"/>
  <c r="AL656" i="1"/>
  <c r="AO656" i="1" s="1"/>
  <c r="AL657" i="1"/>
  <c r="AO657" i="1" s="1"/>
  <c r="AL658" i="1"/>
  <c r="AO658" i="1" s="1"/>
  <c r="AL659" i="1"/>
  <c r="AO659" i="1" s="1"/>
  <c r="AL660" i="1"/>
  <c r="AO660" i="1" s="1"/>
  <c r="AL661" i="1"/>
  <c r="AO661" i="1" s="1"/>
  <c r="AL662" i="1"/>
  <c r="AO662" i="1" s="1"/>
  <c r="AL663" i="1"/>
  <c r="AO663" i="1" s="1"/>
  <c r="AL664" i="1"/>
  <c r="AO664" i="1" s="1"/>
  <c r="AL665" i="1"/>
  <c r="AO665" i="1" s="1"/>
  <c r="AL666" i="1"/>
  <c r="AO666" i="1" s="1"/>
  <c r="AL667" i="1"/>
  <c r="AO667" i="1" s="1"/>
  <c r="AL668" i="1"/>
  <c r="AO668" i="1" s="1"/>
  <c r="AL669" i="1"/>
  <c r="AO669" i="1" s="1"/>
  <c r="AL670" i="1"/>
  <c r="AO670" i="1" s="1"/>
  <c r="AL671" i="1"/>
  <c r="AO671" i="1" s="1"/>
  <c r="AL672" i="1"/>
  <c r="AO672" i="1" s="1"/>
  <c r="AL673" i="1"/>
  <c r="AO673" i="1" s="1"/>
  <c r="AL674" i="1"/>
  <c r="AO674" i="1" s="1"/>
  <c r="AL675" i="1"/>
  <c r="AO675" i="1" s="1"/>
  <c r="AL676" i="1"/>
  <c r="AO676" i="1" s="1"/>
  <c r="AL677" i="1"/>
  <c r="AO677" i="1" s="1"/>
  <c r="AL678" i="1"/>
  <c r="AO678" i="1" s="1"/>
  <c r="AL679" i="1"/>
  <c r="AO679" i="1" s="1"/>
  <c r="AL680" i="1"/>
  <c r="AO680" i="1" s="1"/>
  <c r="AL681" i="1"/>
  <c r="AO681" i="1" s="1"/>
  <c r="AL682" i="1"/>
  <c r="AO682" i="1" s="1"/>
  <c r="AL683" i="1"/>
  <c r="AO683" i="1" s="1"/>
  <c r="AL684" i="1"/>
  <c r="AO684" i="1" s="1"/>
  <c r="AL685" i="1"/>
  <c r="AO685" i="1" s="1"/>
  <c r="AL686" i="1"/>
  <c r="AO686" i="1" s="1"/>
  <c r="AL687" i="1"/>
  <c r="AO687" i="1" s="1"/>
  <c r="AL688" i="1"/>
  <c r="AO688" i="1" s="1"/>
  <c r="AL689" i="1"/>
  <c r="AO689" i="1" s="1"/>
  <c r="AL690" i="1"/>
  <c r="AO690" i="1" s="1"/>
  <c r="AL691" i="1"/>
  <c r="AO691" i="1" s="1"/>
  <c r="AL692" i="1"/>
  <c r="AO692" i="1" s="1"/>
  <c r="AL693" i="1"/>
  <c r="AO693" i="1" s="1"/>
  <c r="AL694" i="1"/>
  <c r="AO694" i="1" s="1"/>
  <c r="AL695" i="1"/>
  <c r="AO695" i="1" s="1"/>
  <c r="AL696" i="1"/>
  <c r="AO696" i="1" s="1"/>
  <c r="AL697" i="1"/>
  <c r="AO697" i="1" s="1"/>
  <c r="AL698" i="1"/>
  <c r="AO698" i="1" s="1"/>
  <c r="AL699" i="1"/>
  <c r="AO699" i="1" s="1"/>
  <c r="AL700" i="1"/>
  <c r="AO700" i="1" s="1"/>
  <c r="AL701" i="1"/>
  <c r="AO701" i="1" s="1"/>
  <c r="AL702" i="1"/>
  <c r="AO702" i="1" s="1"/>
  <c r="AL703" i="1"/>
  <c r="AO703" i="1" s="1"/>
  <c r="AL704" i="1"/>
  <c r="AO704" i="1" s="1"/>
  <c r="AL705" i="1"/>
  <c r="AO705" i="1" s="1"/>
  <c r="AL706" i="1"/>
  <c r="AO706" i="1" s="1"/>
  <c r="AL707" i="1"/>
  <c r="AO707" i="1" s="1"/>
  <c r="AL708" i="1"/>
  <c r="AO708" i="1" s="1"/>
  <c r="AL709" i="1"/>
  <c r="AO709" i="1" s="1"/>
  <c r="AL710" i="1"/>
  <c r="AO710" i="1" s="1"/>
  <c r="AL711" i="1"/>
  <c r="AO711" i="1" s="1"/>
  <c r="AL712" i="1"/>
  <c r="AO712" i="1" s="1"/>
  <c r="AL713" i="1"/>
  <c r="AO713" i="1" s="1"/>
  <c r="AL714" i="1"/>
  <c r="AO714" i="1" s="1"/>
  <c r="AL715" i="1"/>
  <c r="AO715" i="1" s="1"/>
  <c r="AL716" i="1"/>
  <c r="AO716" i="1" s="1"/>
  <c r="AL717" i="1"/>
  <c r="AO717" i="1" s="1"/>
  <c r="AL718" i="1"/>
  <c r="AO718" i="1" s="1"/>
  <c r="AL719" i="1"/>
  <c r="AO719" i="1" s="1"/>
  <c r="AL720" i="1"/>
  <c r="AO720" i="1" s="1"/>
  <c r="AL721" i="1"/>
  <c r="AO721" i="1" s="1"/>
  <c r="AL722" i="1"/>
  <c r="AO722" i="1" s="1"/>
  <c r="AL723" i="1"/>
  <c r="AO723" i="1" s="1"/>
  <c r="AL724" i="1"/>
  <c r="AO724" i="1" s="1"/>
  <c r="AL725" i="1"/>
  <c r="AO725" i="1" s="1"/>
  <c r="AL726" i="1"/>
  <c r="AO726" i="1" s="1"/>
  <c r="AL727" i="1"/>
  <c r="AO727" i="1" s="1"/>
  <c r="AL728" i="1"/>
  <c r="AO728" i="1" s="1"/>
  <c r="AL729" i="1"/>
  <c r="AO729" i="1" s="1"/>
  <c r="AL730" i="1"/>
  <c r="AO730" i="1" s="1"/>
  <c r="AL731" i="1"/>
  <c r="AO731" i="1" s="1"/>
  <c r="AL732" i="1"/>
  <c r="AO732" i="1" s="1"/>
  <c r="AL733" i="1"/>
  <c r="AO733" i="1" s="1"/>
  <c r="AL734" i="1"/>
  <c r="AO734" i="1" s="1"/>
  <c r="AL735" i="1"/>
  <c r="AO735" i="1" s="1"/>
  <c r="AL736" i="1"/>
  <c r="AO736" i="1" s="1"/>
  <c r="AL737" i="1"/>
  <c r="AO737" i="1" s="1"/>
  <c r="AL738" i="1"/>
  <c r="AO738" i="1" s="1"/>
  <c r="AL739" i="1"/>
  <c r="AO739" i="1" s="1"/>
  <c r="AL740" i="1"/>
  <c r="AO740" i="1" s="1"/>
  <c r="AL741" i="1"/>
  <c r="AO741" i="1" s="1"/>
  <c r="AL742" i="1"/>
  <c r="AO742" i="1" s="1"/>
  <c r="AL743" i="1"/>
  <c r="AO743" i="1" s="1"/>
  <c r="AL744" i="1"/>
  <c r="AO744" i="1" s="1"/>
  <c r="AL745" i="1"/>
  <c r="AO745" i="1" s="1"/>
  <c r="AL746" i="1"/>
  <c r="AO746" i="1" s="1"/>
  <c r="AL747" i="1"/>
  <c r="AO747" i="1" s="1"/>
  <c r="AL748" i="1"/>
  <c r="AO748" i="1" s="1"/>
  <c r="AL749" i="1"/>
  <c r="AO749" i="1" s="1"/>
  <c r="AL750" i="1"/>
  <c r="AO750" i="1" s="1"/>
  <c r="AL751" i="1"/>
  <c r="AO751" i="1" s="1"/>
  <c r="AL752" i="1"/>
  <c r="AO752" i="1" s="1"/>
  <c r="AL753" i="1"/>
  <c r="AO753" i="1" s="1"/>
  <c r="AL754" i="1"/>
  <c r="AO754" i="1" s="1"/>
  <c r="AL755" i="1"/>
  <c r="AO755" i="1" s="1"/>
  <c r="AL756" i="1"/>
  <c r="AO756" i="1" s="1"/>
  <c r="AL757" i="1"/>
  <c r="AO757" i="1" s="1"/>
  <c r="AL758" i="1"/>
  <c r="AO758" i="1" s="1"/>
  <c r="AL759" i="1"/>
  <c r="AO759" i="1" s="1"/>
  <c r="AL760" i="1"/>
  <c r="AO760" i="1" s="1"/>
  <c r="AL761" i="1"/>
  <c r="AO761" i="1" s="1"/>
  <c r="AL762" i="1"/>
  <c r="AO762" i="1" s="1"/>
  <c r="AL763" i="1"/>
  <c r="AO763" i="1" s="1"/>
  <c r="AL764" i="1"/>
  <c r="AO764" i="1" s="1"/>
  <c r="AL765" i="1"/>
  <c r="AO765" i="1" s="1"/>
  <c r="AL766" i="1"/>
  <c r="AO766" i="1" s="1"/>
  <c r="AL767" i="1"/>
  <c r="AO767" i="1" s="1"/>
  <c r="AL768" i="1"/>
  <c r="AO768" i="1" s="1"/>
  <c r="AL769" i="1"/>
  <c r="AO769" i="1" s="1"/>
  <c r="AL770" i="1"/>
  <c r="AO770" i="1" s="1"/>
  <c r="AL771" i="1"/>
  <c r="AO771" i="1" s="1"/>
  <c r="AL772" i="1"/>
  <c r="AO772" i="1" s="1"/>
  <c r="AL773" i="1"/>
  <c r="AO773" i="1" s="1"/>
  <c r="AL774" i="1"/>
  <c r="AO774" i="1" s="1"/>
  <c r="AL775" i="1"/>
  <c r="AO775" i="1" s="1"/>
  <c r="AL776" i="1"/>
  <c r="AO776" i="1" s="1"/>
  <c r="AL777" i="1"/>
  <c r="AO777" i="1" s="1"/>
  <c r="AL778" i="1"/>
  <c r="AO778" i="1" s="1"/>
  <c r="AL779" i="1"/>
  <c r="AO779" i="1" s="1"/>
  <c r="AL780" i="1"/>
  <c r="AO780" i="1" s="1"/>
  <c r="AL781" i="1"/>
  <c r="AO781" i="1" s="1"/>
  <c r="AL782" i="1"/>
  <c r="AO782" i="1" s="1"/>
  <c r="AL783" i="1"/>
  <c r="AO783" i="1" s="1"/>
  <c r="AL784" i="1"/>
  <c r="AO784" i="1" s="1"/>
  <c r="AL785" i="1"/>
  <c r="AO785" i="1" s="1"/>
  <c r="AL786" i="1"/>
  <c r="AO786" i="1" s="1"/>
  <c r="AL787" i="1"/>
  <c r="AO787" i="1" s="1"/>
  <c r="AL788" i="1"/>
  <c r="AO788" i="1" s="1"/>
  <c r="AL789" i="1"/>
  <c r="AO789" i="1" s="1"/>
  <c r="AL790" i="1"/>
  <c r="AO790" i="1" s="1"/>
  <c r="AL791" i="1"/>
  <c r="AO791" i="1" s="1"/>
  <c r="AL792" i="1"/>
  <c r="AO792" i="1" s="1"/>
  <c r="AL793" i="1"/>
  <c r="AO793" i="1" s="1"/>
  <c r="AL794" i="1"/>
  <c r="AO794" i="1" s="1"/>
  <c r="AL795" i="1"/>
  <c r="AO795" i="1" s="1"/>
  <c r="AL796" i="1"/>
  <c r="AO796" i="1" s="1"/>
  <c r="AL797" i="1"/>
  <c r="AO797" i="1" s="1"/>
  <c r="AL798" i="1"/>
  <c r="AO798" i="1" s="1"/>
  <c r="AL799" i="1"/>
  <c r="AO799" i="1" s="1"/>
  <c r="AL800" i="1"/>
  <c r="AO800" i="1" s="1"/>
  <c r="AL801" i="1"/>
  <c r="AO801" i="1" s="1"/>
  <c r="AL802" i="1"/>
  <c r="AO802" i="1" s="1"/>
  <c r="AL803" i="1"/>
  <c r="AO803" i="1" s="1"/>
  <c r="AL804" i="1"/>
  <c r="AO804" i="1" s="1"/>
  <c r="AL805" i="1"/>
  <c r="AO805" i="1" s="1"/>
  <c r="AL806" i="1"/>
  <c r="AO806" i="1" s="1"/>
  <c r="AL807" i="1"/>
  <c r="AO807" i="1" s="1"/>
  <c r="AL808" i="1"/>
  <c r="AO808" i="1" s="1"/>
  <c r="AL809" i="1"/>
  <c r="AO809" i="1" s="1"/>
  <c r="AL810" i="1"/>
  <c r="AO810" i="1" s="1"/>
  <c r="AL811" i="1"/>
  <c r="AO811" i="1" s="1"/>
  <c r="AL812" i="1"/>
  <c r="AO812" i="1" s="1"/>
  <c r="AL813" i="1"/>
  <c r="AO813" i="1" s="1"/>
  <c r="AL814" i="1"/>
  <c r="AO814" i="1" s="1"/>
  <c r="AL815" i="1"/>
  <c r="AO815" i="1" s="1"/>
  <c r="AL816" i="1"/>
  <c r="AO816" i="1" s="1"/>
  <c r="AL817" i="1"/>
  <c r="AO817" i="1" s="1"/>
  <c r="AL818" i="1"/>
  <c r="AO818" i="1" s="1"/>
  <c r="AL819" i="1"/>
  <c r="AO819" i="1" s="1"/>
  <c r="AL820" i="1"/>
  <c r="AO820" i="1" s="1"/>
  <c r="AL821" i="1"/>
  <c r="AO821" i="1" s="1"/>
  <c r="AL822" i="1"/>
  <c r="AO822" i="1" s="1"/>
  <c r="AL823" i="1"/>
  <c r="AO823" i="1" s="1"/>
  <c r="AL824" i="1"/>
  <c r="AO824" i="1" s="1"/>
  <c r="AL825" i="1"/>
  <c r="AO825" i="1" s="1"/>
  <c r="AL826" i="1"/>
  <c r="AO826" i="1" s="1"/>
  <c r="AL827" i="1"/>
  <c r="AO827" i="1" s="1"/>
  <c r="AL828" i="1"/>
  <c r="AO828" i="1" s="1"/>
  <c r="AL829" i="1"/>
  <c r="AO829" i="1" s="1"/>
  <c r="AL830" i="1"/>
  <c r="AO830" i="1" s="1"/>
  <c r="AL831" i="1"/>
  <c r="AO831" i="1" s="1"/>
  <c r="AL832" i="1"/>
  <c r="AO832" i="1" s="1"/>
  <c r="AL833" i="1"/>
  <c r="AO833" i="1" s="1"/>
  <c r="AL834" i="1"/>
  <c r="AO834" i="1" s="1"/>
  <c r="AL835" i="1"/>
  <c r="AO835" i="1" s="1"/>
  <c r="AL836" i="1"/>
  <c r="AO836" i="1" s="1"/>
  <c r="AL837" i="1"/>
  <c r="AO837" i="1" s="1"/>
  <c r="AL838" i="1"/>
  <c r="AO838" i="1" s="1"/>
  <c r="AL839" i="1"/>
  <c r="AO839" i="1" s="1"/>
  <c r="AL840" i="1"/>
  <c r="AO840" i="1" s="1"/>
  <c r="AL841" i="1"/>
  <c r="AO841" i="1" s="1"/>
  <c r="AL842" i="1"/>
  <c r="AO842" i="1" s="1"/>
  <c r="AL843" i="1"/>
  <c r="AO843" i="1" s="1"/>
  <c r="AL844" i="1"/>
  <c r="AO844" i="1" s="1"/>
  <c r="AL845" i="1"/>
  <c r="AO845" i="1" s="1"/>
  <c r="AL846" i="1"/>
  <c r="AO846" i="1" s="1"/>
  <c r="AL847" i="1"/>
  <c r="AO847" i="1" s="1"/>
  <c r="AL848" i="1"/>
  <c r="AO848" i="1" s="1"/>
  <c r="AL849" i="1"/>
  <c r="AO849" i="1" s="1"/>
  <c r="AL850" i="1"/>
  <c r="AO850" i="1" s="1"/>
  <c r="AL851" i="1"/>
  <c r="AO851" i="1" s="1"/>
  <c r="AL852" i="1"/>
  <c r="AO852" i="1" s="1"/>
  <c r="AL853" i="1"/>
  <c r="AO853" i="1" s="1"/>
  <c r="AL854" i="1"/>
  <c r="AO854" i="1" s="1"/>
  <c r="AL855" i="1"/>
  <c r="AO855" i="1" s="1"/>
  <c r="AL856" i="1"/>
  <c r="AO856" i="1" s="1"/>
  <c r="AL857" i="1"/>
  <c r="AO857" i="1" s="1"/>
  <c r="AL858" i="1"/>
  <c r="AO858" i="1" s="1"/>
  <c r="AL859" i="1"/>
  <c r="AO859" i="1" s="1"/>
  <c r="AL860" i="1"/>
  <c r="AO860" i="1" s="1"/>
  <c r="AL861" i="1"/>
  <c r="AO861" i="1" s="1"/>
  <c r="AL862" i="1"/>
  <c r="AO862" i="1" s="1"/>
  <c r="AL863" i="1"/>
  <c r="AO863" i="1" s="1"/>
  <c r="AL864" i="1"/>
  <c r="AO864" i="1" s="1"/>
  <c r="AL865" i="1"/>
  <c r="AO865" i="1" s="1"/>
  <c r="AL866" i="1"/>
  <c r="AO866" i="1" s="1"/>
  <c r="AL867" i="1"/>
  <c r="AO867" i="1" s="1"/>
  <c r="AL868" i="1"/>
  <c r="AO868" i="1" s="1"/>
  <c r="AL869" i="1"/>
  <c r="AO869" i="1" s="1"/>
  <c r="AL870" i="1"/>
  <c r="AO870" i="1" s="1"/>
  <c r="AL871" i="1"/>
  <c r="AO871" i="1" s="1"/>
  <c r="AL872" i="1"/>
  <c r="AO872" i="1" s="1"/>
  <c r="AL873" i="1"/>
  <c r="AO873" i="1" s="1"/>
  <c r="AL874" i="1"/>
  <c r="AO874" i="1" s="1"/>
  <c r="AL875" i="1"/>
  <c r="AO875" i="1" s="1"/>
  <c r="AL876" i="1"/>
  <c r="AO876" i="1" s="1"/>
  <c r="AL877" i="1"/>
  <c r="AO877" i="1" s="1"/>
  <c r="AL878" i="1"/>
  <c r="AO878" i="1" s="1"/>
  <c r="AL879" i="1"/>
  <c r="AO879" i="1" s="1"/>
  <c r="AL880" i="1"/>
  <c r="AO880" i="1" s="1"/>
  <c r="AL881" i="1"/>
  <c r="AO881" i="1" s="1"/>
  <c r="AL882" i="1"/>
  <c r="AO882" i="1" s="1"/>
  <c r="AL883" i="1"/>
  <c r="AO883" i="1" s="1"/>
  <c r="AL884" i="1"/>
  <c r="AO884" i="1" s="1"/>
  <c r="AL885" i="1"/>
  <c r="AO885" i="1" s="1"/>
  <c r="AL886" i="1"/>
  <c r="AO886" i="1" s="1"/>
  <c r="AL887" i="1"/>
  <c r="AO887" i="1" s="1"/>
  <c r="AL888" i="1"/>
  <c r="AO888" i="1" s="1"/>
  <c r="AL889" i="1"/>
  <c r="AO889" i="1" s="1"/>
  <c r="AL890" i="1"/>
  <c r="AO890" i="1" s="1"/>
  <c r="AL891" i="1"/>
  <c r="AO891" i="1" s="1"/>
  <c r="AL892" i="1"/>
  <c r="AO892" i="1" s="1"/>
  <c r="AL893" i="1"/>
  <c r="AO893" i="1" s="1"/>
  <c r="AL894" i="1"/>
  <c r="AO894" i="1" s="1"/>
  <c r="AL895" i="1"/>
  <c r="AO895" i="1" s="1"/>
  <c r="AL896" i="1"/>
  <c r="AO896" i="1" s="1"/>
  <c r="AL897" i="1"/>
  <c r="AO897" i="1" s="1"/>
  <c r="AL898" i="1"/>
  <c r="AO898" i="1" s="1"/>
  <c r="AL899" i="1"/>
  <c r="AO899" i="1" s="1"/>
  <c r="AL900" i="1"/>
  <c r="AO900" i="1" s="1"/>
  <c r="AL901" i="1"/>
  <c r="AO901" i="1" s="1"/>
  <c r="AL902" i="1"/>
  <c r="AO902" i="1" s="1"/>
  <c r="AL903" i="1"/>
  <c r="AO903" i="1" s="1"/>
  <c r="AL904" i="1"/>
  <c r="AO904" i="1" s="1"/>
  <c r="AL905" i="1"/>
  <c r="AO905" i="1" s="1"/>
  <c r="AL906" i="1"/>
  <c r="AO906" i="1" s="1"/>
  <c r="AL907" i="1"/>
  <c r="AO907" i="1" s="1"/>
  <c r="AL908" i="1"/>
  <c r="AO908" i="1" s="1"/>
  <c r="AL909" i="1"/>
  <c r="AO909" i="1" s="1"/>
  <c r="AL910" i="1"/>
  <c r="AO910" i="1" s="1"/>
  <c r="AL911" i="1"/>
  <c r="AO911" i="1" s="1"/>
  <c r="AL912" i="1"/>
  <c r="AO912" i="1" s="1"/>
  <c r="AL913" i="1"/>
  <c r="AO913" i="1" s="1"/>
  <c r="AL914" i="1"/>
  <c r="AO914" i="1" s="1"/>
  <c r="AL915" i="1"/>
  <c r="AO915" i="1" s="1"/>
  <c r="AL916" i="1"/>
  <c r="AO916" i="1" s="1"/>
  <c r="AL917" i="1"/>
  <c r="AO917" i="1" s="1"/>
  <c r="AL918" i="1"/>
  <c r="AO918" i="1" s="1"/>
  <c r="AL919" i="1"/>
  <c r="AO919" i="1" s="1"/>
  <c r="AL920" i="1"/>
  <c r="AO920" i="1" s="1"/>
  <c r="AL921" i="1"/>
  <c r="AO921" i="1" s="1"/>
  <c r="AL922" i="1"/>
  <c r="AO922" i="1" s="1"/>
  <c r="AL923" i="1"/>
  <c r="AO923" i="1" s="1"/>
  <c r="AL924" i="1"/>
  <c r="AO924" i="1" s="1"/>
  <c r="AL925" i="1"/>
  <c r="AO925" i="1" s="1"/>
  <c r="AL926" i="1"/>
  <c r="AO926" i="1" s="1"/>
  <c r="AL927" i="1"/>
  <c r="AO927" i="1" s="1"/>
  <c r="AL928" i="1"/>
  <c r="AO928" i="1" s="1"/>
  <c r="AL929" i="1"/>
  <c r="AO929" i="1" s="1"/>
  <c r="AL930" i="1"/>
  <c r="AO930" i="1" s="1"/>
  <c r="AL931" i="1"/>
  <c r="AO931" i="1" s="1"/>
  <c r="AL932" i="1"/>
  <c r="AO932" i="1" s="1"/>
  <c r="AL933" i="1"/>
  <c r="AO933" i="1" s="1"/>
  <c r="AL934" i="1"/>
  <c r="AO934" i="1" s="1"/>
  <c r="AL935" i="1"/>
  <c r="AO935" i="1" s="1"/>
  <c r="AL936" i="1"/>
  <c r="AO936" i="1" s="1"/>
  <c r="AL937" i="1"/>
  <c r="AO937" i="1" s="1"/>
  <c r="AL938" i="1"/>
  <c r="AO938" i="1" s="1"/>
  <c r="AL939" i="1"/>
  <c r="AO939" i="1" s="1"/>
  <c r="AL940" i="1"/>
  <c r="AO940" i="1" s="1"/>
  <c r="AL941" i="1"/>
  <c r="AO941" i="1" s="1"/>
  <c r="AL942" i="1"/>
  <c r="AO942" i="1" s="1"/>
  <c r="AL943" i="1"/>
  <c r="AO943" i="1" s="1"/>
  <c r="AL944" i="1"/>
  <c r="AO944" i="1" s="1"/>
  <c r="AL945" i="1"/>
  <c r="AO945" i="1" s="1"/>
  <c r="AL946" i="1"/>
  <c r="AO946" i="1" s="1"/>
  <c r="AL947" i="1"/>
  <c r="AO947" i="1" s="1"/>
  <c r="AL948" i="1"/>
  <c r="AO948" i="1" s="1"/>
  <c r="AL949" i="1"/>
  <c r="AO949" i="1" s="1"/>
  <c r="AL950" i="1"/>
  <c r="AO950" i="1" s="1"/>
  <c r="AL951" i="1"/>
  <c r="AO951" i="1" s="1"/>
  <c r="AL952" i="1"/>
  <c r="AO952" i="1" s="1"/>
  <c r="AL953" i="1"/>
  <c r="AO953" i="1" s="1"/>
  <c r="AL954" i="1"/>
  <c r="AO954" i="1" s="1"/>
  <c r="AL955" i="1"/>
  <c r="AO955" i="1" s="1"/>
  <c r="AL956" i="1"/>
  <c r="AO956" i="1" s="1"/>
  <c r="AL957" i="1"/>
  <c r="AO957" i="1" s="1"/>
  <c r="AL958" i="1"/>
  <c r="AO958" i="1" s="1"/>
  <c r="AL959" i="1"/>
  <c r="AO959" i="1" s="1"/>
  <c r="AL960" i="1"/>
  <c r="AO960" i="1" s="1"/>
  <c r="AL961" i="1"/>
  <c r="AO961" i="1" s="1"/>
  <c r="AL962" i="1"/>
  <c r="AO962" i="1" s="1"/>
  <c r="AL963" i="1"/>
  <c r="AO963" i="1" s="1"/>
  <c r="AL964" i="1"/>
  <c r="AO964" i="1" s="1"/>
  <c r="AL965" i="1"/>
  <c r="AO965" i="1" s="1"/>
  <c r="AL966" i="1"/>
  <c r="AO966" i="1" s="1"/>
  <c r="AL967" i="1"/>
  <c r="AO967" i="1" s="1"/>
  <c r="AL968" i="1"/>
  <c r="AO968" i="1" s="1"/>
  <c r="AL969" i="1"/>
  <c r="AO969" i="1" s="1"/>
  <c r="AL970" i="1"/>
  <c r="AO970" i="1" s="1"/>
  <c r="AL971" i="1"/>
  <c r="AO971" i="1" s="1"/>
  <c r="AL972" i="1"/>
  <c r="AO972" i="1" s="1"/>
  <c r="AL973" i="1"/>
  <c r="AO973" i="1" s="1"/>
  <c r="AL974" i="1"/>
  <c r="AO974" i="1" s="1"/>
  <c r="AL975" i="1"/>
  <c r="AO975" i="1" s="1"/>
  <c r="AL976" i="1"/>
  <c r="AO976" i="1" s="1"/>
  <c r="AL977" i="1"/>
  <c r="AO977" i="1" s="1"/>
  <c r="AL978" i="1"/>
  <c r="AO978" i="1" s="1"/>
  <c r="AL979" i="1"/>
  <c r="AO979" i="1" s="1"/>
  <c r="AL980" i="1"/>
  <c r="AO980" i="1" s="1"/>
  <c r="AL981" i="1"/>
  <c r="AO981" i="1" s="1"/>
  <c r="AL982" i="1"/>
  <c r="AO982" i="1" s="1"/>
  <c r="AL983" i="1"/>
  <c r="AO983" i="1" s="1"/>
  <c r="AL984" i="1"/>
  <c r="AO984" i="1" s="1"/>
  <c r="AL985" i="1"/>
  <c r="AO985" i="1" s="1"/>
  <c r="AL986" i="1"/>
  <c r="AO986" i="1" s="1"/>
  <c r="AL987" i="1"/>
  <c r="AO987" i="1" s="1"/>
  <c r="AL988" i="1"/>
  <c r="AO988" i="1" s="1"/>
  <c r="AL989" i="1"/>
  <c r="AO989" i="1" s="1"/>
  <c r="AL990" i="1"/>
  <c r="AO990" i="1" s="1"/>
  <c r="AL991" i="1"/>
  <c r="AO991" i="1" s="1"/>
  <c r="AL992" i="1"/>
  <c r="AO992" i="1" s="1"/>
  <c r="AL993" i="1"/>
  <c r="AO993" i="1" s="1"/>
  <c r="AL994" i="1"/>
  <c r="AO994" i="1" s="1"/>
  <c r="AL995" i="1"/>
  <c r="AO995" i="1" s="1"/>
  <c r="AL996" i="1"/>
  <c r="AO996" i="1" s="1"/>
  <c r="AL997" i="1"/>
  <c r="AO997" i="1" s="1"/>
  <c r="AL998" i="1"/>
  <c r="AO998" i="1" s="1"/>
  <c r="AL999" i="1"/>
  <c r="AO999" i="1" s="1"/>
  <c r="AL1000" i="1"/>
  <c r="AO1000" i="1" s="1"/>
  <c r="AL1001" i="1"/>
  <c r="AO1001" i="1" s="1"/>
  <c r="AL1002" i="1"/>
  <c r="AO1002" i="1" s="1"/>
  <c r="AL1003" i="1"/>
  <c r="AO1003" i="1" s="1"/>
  <c r="AL1004" i="1"/>
  <c r="AO1004" i="1" s="1"/>
  <c r="AL1005" i="1"/>
  <c r="AO1005" i="1" s="1"/>
  <c r="AL1006" i="1"/>
  <c r="AO1006" i="1" s="1"/>
  <c r="AL1007" i="1"/>
  <c r="AO1007" i="1" s="1"/>
  <c r="AL1008" i="1"/>
  <c r="AO1008" i="1" s="1"/>
  <c r="AL1009" i="1"/>
  <c r="AO1009" i="1" s="1"/>
  <c r="AL1010" i="1"/>
  <c r="AO1010" i="1" s="1"/>
  <c r="AL1011" i="1"/>
  <c r="AO1011" i="1" s="1"/>
  <c r="AL1012" i="1"/>
  <c r="AO1012" i="1" s="1"/>
  <c r="AL1013" i="1"/>
  <c r="AO1013" i="1" s="1"/>
  <c r="AL1014" i="1"/>
  <c r="AO1014" i="1" s="1"/>
  <c r="AL1015" i="1"/>
  <c r="AO1015" i="1" s="1"/>
  <c r="AL1016" i="1"/>
  <c r="AO1016" i="1" s="1"/>
  <c r="AL1017" i="1"/>
  <c r="AO1017" i="1" s="1"/>
  <c r="AL1018" i="1"/>
  <c r="AO1018" i="1" s="1"/>
  <c r="AL1019" i="1"/>
  <c r="AO1019" i="1" s="1"/>
  <c r="AL1020" i="1"/>
  <c r="AO1020" i="1" s="1"/>
  <c r="AL1021" i="1"/>
  <c r="AO1021" i="1" s="1"/>
  <c r="AL1022" i="1"/>
  <c r="AO1022" i="1" s="1"/>
  <c r="AL1023" i="1"/>
  <c r="AO1023" i="1" s="1"/>
  <c r="AL1024" i="1"/>
  <c r="AO1024" i="1" s="1"/>
  <c r="AL1025" i="1"/>
  <c r="AO1025" i="1" s="1"/>
  <c r="AL1026" i="1"/>
  <c r="AO1026" i="1" s="1"/>
  <c r="AL1027" i="1"/>
  <c r="AO1027" i="1" s="1"/>
  <c r="AL1028" i="1"/>
  <c r="AO1028" i="1" s="1"/>
  <c r="AL1029" i="1"/>
  <c r="AO1029" i="1" s="1"/>
  <c r="AL1030" i="1"/>
  <c r="AO1030" i="1" s="1"/>
  <c r="AL1031" i="1"/>
  <c r="AO1031" i="1" s="1"/>
  <c r="AL1032" i="1"/>
  <c r="AO1032" i="1" s="1"/>
  <c r="AL1033" i="1"/>
  <c r="AO1033" i="1" s="1"/>
  <c r="AL1034" i="1"/>
  <c r="AO1034" i="1" s="1"/>
  <c r="AL1035" i="1"/>
  <c r="AO1035" i="1" s="1"/>
  <c r="AL1036" i="1"/>
  <c r="AO1036" i="1" s="1"/>
  <c r="AL1037" i="1"/>
  <c r="AO1037" i="1" s="1"/>
  <c r="AL1038" i="1"/>
  <c r="AO1038" i="1" s="1"/>
  <c r="AL1039" i="1"/>
  <c r="AO1039" i="1" s="1"/>
  <c r="AL1040" i="1"/>
  <c r="AO1040" i="1" s="1"/>
  <c r="AL1041" i="1"/>
  <c r="AO1041" i="1" s="1"/>
  <c r="AL1042" i="1"/>
  <c r="AO1042" i="1" s="1"/>
  <c r="AL1043" i="1"/>
  <c r="AO1043" i="1" s="1"/>
  <c r="AL1044" i="1"/>
  <c r="AO1044" i="1" s="1"/>
  <c r="AL1045" i="1"/>
  <c r="AO1045" i="1" s="1"/>
  <c r="AL1046" i="1"/>
  <c r="AO1046" i="1" s="1"/>
  <c r="AL1047" i="1"/>
  <c r="AO1047" i="1" s="1"/>
  <c r="AL1048" i="1"/>
  <c r="AO1048" i="1" s="1"/>
  <c r="AL1049" i="1"/>
  <c r="AO1049" i="1" s="1"/>
  <c r="AL1050" i="1"/>
  <c r="AO1050" i="1" s="1"/>
  <c r="AL1051" i="1"/>
  <c r="AO1051" i="1" s="1"/>
  <c r="AL1052" i="1"/>
  <c r="AO1052" i="1" s="1"/>
  <c r="AL1053" i="1"/>
  <c r="AO1053" i="1" s="1"/>
  <c r="AL1054" i="1"/>
  <c r="AO1054" i="1" s="1"/>
  <c r="AL1055" i="1"/>
  <c r="AO1055" i="1" s="1"/>
  <c r="AL1056" i="1"/>
  <c r="AO1056" i="1" s="1"/>
  <c r="AL1057" i="1"/>
  <c r="AO1057" i="1" s="1"/>
  <c r="AL1058" i="1"/>
  <c r="AO1058" i="1" s="1"/>
  <c r="AL1059" i="1"/>
  <c r="AO1059" i="1" s="1"/>
  <c r="AL1060" i="1"/>
  <c r="AO1060" i="1" s="1"/>
  <c r="AL1061" i="1"/>
  <c r="AO1061" i="1" s="1"/>
  <c r="AL1062" i="1"/>
  <c r="AO1062" i="1" s="1"/>
  <c r="AL1063" i="1"/>
  <c r="AO1063" i="1" s="1"/>
  <c r="AL1064" i="1"/>
  <c r="AO1064" i="1" s="1"/>
  <c r="AL1065" i="1"/>
  <c r="AO1065" i="1" s="1"/>
  <c r="AL1066" i="1"/>
  <c r="AO1066" i="1" s="1"/>
  <c r="AL1067" i="1"/>
  <c r="AO1067" i="1" s="1"/>
  <c r="AL1068" i="1"/>
  <c r="AO1068" i="1" s="1"/>
  <c r="AL1069" i="1"/>
  <c r="AO1069" i="1" s="1"/>
  <c r="AL1070" i="1"/>
  <c r="AO1070" i="1" s="1"/>
  <c r="AL1071" i="1"/>
  <c r="AO1071" i="1" s="1"/>
  <c r="AL1072" i="1"/>
  <c r="AO1072" i="1" s="1"/>
  <c r="AL1073" i="1"/>
  <c r="AO1073" i="1" s="1"/>
  <c r="AL1074" i="1"/>
  <c r="AO1074" i="1" s="1"/>
  <c r="AL1075" i="1"/>
  <c r="AO1075" i="1" s="1"/>
  <c r="AL1076" i="1"/>
  <c r="AO1076" i="1" s="1"/>
  <c r="AL1077" i="1"/>
  <c r="AO1077" i="1" s="1"/>
  <c r="AL1078" i="1"/>
  <c r="AO1078" i="1" s="1"/>
  <c r="AL1079" i="1"/>
  <c r="AO1079" i="1" s="1"/>
  <c r="AL1080" i="1"/>
  <c r="AO1080" i="1" s="1"/>
  <c r="AL1081" i="1"/>
  <c r="AO1081" i="1" s="1"/>
  <c r="AL1082" i="1"/>
  <c r="AO1082" i="1" s="1"/>
  <c r="AL1083" i="1"/>
  <c r="AO1083" i="1" s="1"/>
  <c r="AL1084" i="1"/>
  <c r="AO1084" i="1" s="1"/>
  <c r="AL1085" i="1"/>
  <c r="AO1085" i="1" s="1"/>
  <c r="AL1086" i="1"/>
  <c r="AO1086" i="1" s="1"/>
  <c r="AL1087" i="1"/>
  <c r="AO1087" i="1" s="1"/>
  <c r="AL1088" i="1"/>
  <c r="AO1088" i="1" s="1"/>
  <c r="AL1089" i="1"/>
  <c r="AO1089" i="1" s="1"/>
  <c r="AL1090" i="1"/>
  <c r="AO1090" i="1" s="1"/>
  <c r="AL1091" i="1"/>
  <c r="AO1091" i="1" s="1"/>
  <c r="AL1092" i="1"/>
  <c r="AO1092" i="1" s="1"/>
  <c r="AL1093" i="1"/>
  <c r="AO1093" i="1" s="1"/>
  <c r="AL1094" i="1"/>
  <c r="AO1094" i="1" s="1"/>
  <c r="AL1095" i="1"/>
  <c r="AO1095" i="1" s="1"/>
  <c r="AL1096" i="1"/>
  <c r="AO1096" i="1" s="1"/>
  <c r="AL1097" i="1"/>
  <c r="AO1097" i="1" s="1"/>
  <c r="AL1098" i="1"/>
  <c r="AO1098" i="1" s="1"/>
  <c r="AL1099" i="1"/>
  <c r="AO1099" i="1" s="1"/>
  <c r="AL1100" i="1"/>
  <c r="AO1100" i="1" s="1"/>
  <c r="AL1101" i="1"/>
  <c r="AO1101" i="1" s="1"/>
  <c r="AL1102" i="1"/>
  <c r="AO1102" i="1" s="1"/>
  <c r="AL1103" i="1"/>
  <c r="AO1103" i="1" s="1"/>
  <c r="AL1104" i="1"/>
  <c r="AO1104" i="1" s="1"/>
  <c r="AL1105" i="1"/>
  <c r="AO1105" i="1" s="1"/>
  <c r="AL1106" i="1"/>
  <c r="AO1106" i="1" s="1"/>
  <c r="AL1107" i="1"/>
  <c r="AO1107" i="1" s="1"/>
  <c r="AL1108" i="1"/>
  <c r="AO1108" i="1" s="1"/>
  <c r="AL1109" i="1"/>
  <c r="AO1109" i="1" s="1"/>
  <c r="AL1110" i="1"/>
  <c r="AO1110" i="1" s="1"/>
  <c r="AL1111" i="1"/>
  <c r="AO1111" i="1" s="1"/>
  <c r="AL1112" i="1"/>
  <c r="AO1112" i="1" s="1"/>
  <c r="AL1113" i="1"/>
  <c r="AO1113" i="1" s="1"/>
  <c r="AL1114" i="1"/>
  <c r="AO1114" i="1" s="1"/>
  <c r="AL1115" i="1"/>
  <c r="AO1115" i="1" s="1"/>
  <c r="AL1116" i="1"/>
  <c r="AO1116" i="1" s="1"/>
  <c r="AL1117" i="1"/>
  <c r="AO1117" i="1" s="1"/>
  <c r="AL1118" i="1"/>
  <c r="AO1118" i="1" s="1"/>
  <c r="AL1119" i="1"/>
  <c r="AO1119" i="1" s="1"/>
  <c r="AL1120" i="1"/>
  <c r="AO1120" i="1" s="1"/>
  <c r="AL1121" i="1"/>
  <c r="AO1121" i="1" s="1"/>
  <c r="AL1122" i="1"/>
  <c r="AO1122" i="1" s="1"/>
  <c r="AL1123" i="1"/>
  <c r="AO1123" i="1" s="1"/>
  <c r="AL1124" i="1"/>
  <c r="AO1124" i="1" s="1"/>
  <c r="AL1125" i="1"/>
  <c r="AO1125" i="1" s="1"/>
  <c r="AL1126" i="1"/>
  <c r="AO1126" i="1" s="1"/>
  <c r="AL1127" i="1"/>
  <c r="AO1127" i="1" s="1"/>
  <c r="AL1128" i="1"/>
  <c r="AO1128" i="1" s="1"/>
  <c r="AL1129" i="1"/>
  <c r="AO1129" i="1" s="1"/>
  <c r="AL1130" i="1"/>
  <c r="AO1130" i="1" s="1"/>
  <c r="AL1131" i="1"/>
  <c r="AO1131" i="1" s="1"/>
  <c r="AL1132" i="1"/>
  <c r="AO1132" i="1" s="1"/>
  <c r="AL1133" i="1"/>
  <c r="AO1133" i="1" s="1"/>
  <c r="AL1134" i="1"/>
  <c r="AO1134" i="1" s="1"/>
  <c r="AL1135" i="1"/>
  <c r="AO1135" i="1" s="1"/>
  <c r="AL1136" i="1"/>
  <c r="AO1136" i="1" s="1"/>
  <c r="AL1137" i="1"/>
  <c r="AO1137" i="1" s="1"/>
  <c r="AL1138" i="1"/>
  <c r="AO1138" i="1" s="1"/>
  <c r="AL1139" i="1"/>
  <c r="AO1139" i="1" s="1"/>
  <c r="AL1140" i="1"/>
  <c r="AO1140" i="1" s="1"/>
  <c r="AL1141" i="1"/>
  <c r="AO1141" i="1" s="1"/>
  <c r="AL1142" i="1"/>
  <c r="AO1142" i="1" s="1"/>
  <c r="AL1143" i="1"/>
  <c r="AO1143" i="1" s="1"/>
  <c r="AL1144" i="1"/>
  <c r="AO1144" i="1" s="1"/>
  <c r="AL1145" i="1"/>
  <c r="AO1145" i="1" s="1"/>
  <c r="AL1146" i="1"/>
  <c r="AO1146" i="1" s="1"/>
  <c r="AL1147" i="1"/>
  <c r="AO1147" i="1" s="1"/>
  <c r="AL1148" i="1"/>
  <c r="AO1148" i="1" s="1"/>
  <c r="AL1149" i="1"/>
  <c r="AO1149" i="1" s="1"/>
  <c r="AL1150" i="1"/>
  <c r="AO1150" i="1" s="1"/>
  <c r="AL1151" i="1"/>
  <c r="AO1151" i="1" s="1"/>
  <c r="AL1152" i="1"/>
  <c r="AO1152" i="1" s="1"/>
  <c r="AL1153" i="1"/>
  <c r="AO1153" i="1" s="1"/>
  <c r="AL1154" i="1"/>
  <c r="AO1154" i="1" s="1"/>
  <c r="AL1155" i="1"/>
  <c r="AO1155" i="1" s="1"/>
  <c r="AL1156" i="1"/>
  <c r="AO1156" i="1" s="1"/>
  <c r="AL1157" i="1"/>
  <c r="AO1157" i="1" s="1"/>
  <c r="AL1158" i="1"/>
  <c r="AO1158" i="1" s="1"/>
  <c r="AL1159" i="1"/>
  <c r="AO1159" i="1" s="1"/>
  <c r="AL1160" i="1"/>
  <c r="AO1160" i="1" s="1"/>
  <c r="AL1161" i="1"/>
  <c r="AO1161" i="1" s="1"/>
  <c r="AL1162" i="1"/>
  <c r="AO1162" i="1" s="1"/>
  <c r="AL1163" i="1"/>
  <c r="AO1163" i="1" s="1"/>
  <c r="AL1164" i="1"/>
  <c r="AO1164" i="1" s="1"/>
  <c r="AL1165" i="1"/>
  <c r="AO1165" i="1" s="1"/>
  <c r="AL1166" i="1"/>
  <c r="AO1166" i="1" s="1"/>
  <c r="AL1167" i="1"/>
  <c r="AO1167" i="1" s="1"/>
  <c r="AL1168" i="1"/>
  <c r="AO1168" i="1" s="1"/>
  <c r="AL1169" i="1"/>
  <c r="AO1169" i="1" s="1"/>
  <c r="AL1170" i="1"/>
  <c r="AO1170" i="1" s="1"/>
  <c r="AL1171" i="1"/>
  <c r="AO1171" i="1" s="1"/>
  <c r="AL1172" i="1"/>
  <c r="AO1172" i="1" s="1"/>
  <c r="AL1173" i="1"/>
  <c r="AO1173" i="1" s="1"/>
  <c r="AL1174" i="1"/>
  <c r="AO1174" i="1" s="1"/>
  <c r="AL1175" i="1"/>
  <c r="AO1175" i="1" s="1"/>
  <c r="AL1176" i="1"/>
  <c r="AO1176" i="1" s="1"/>
  <c r="AL1177" i="1"/>
  <c r="AO1177" i="1" s="1"/>
  <c r="AL1178" i="1"/>
  <c r="AO1178" i="1" s="1"/>
  <c r="AL1179" i="1"/>
  <c r="AO1179" i="1" s="1"/>
  <c r="AL1180" i="1"/>
  <c r="AO1180" i="1" s="1"/>
  <c r="AL1181" i="1"/>
  <c r="AO1181" i="1" s="1"/>
  <c r="AL1182" i="1"/>
  <c r="AO1182" i="1" s="1"/>
  <c r="AL1183" i="1"/>
  <c r="AO1183" i="1" s="1"/>
  <c r="AL1184" i="1"/>
  <c r="AO1184" i="1" s="1"/>
  <c r="AL1185" i="1"/>
  <c r="AO1185" i="1" s="1"/>
  <c r="AL1186" i="1"/>
  <c r="AO1186" i="1" s="1"/>
  <c r="AL1187" i="1"/>
  <c r="AO1187" i="1" s="1"/>
  <c r="AL1188" i="1"/>
  <c r="AO1188" i="1" s="1"/>
  <c r="AL1189" i="1"/>
  <c r="AO1189" i="1" s="1"/>
  <c r="AL1190" i="1"/>
  <c r="AO1190" i="1" s="1"/>
  <c r="AL1191" i="1"/>
  <c r="AO1191" i="1" s="1"/>
  <c r="AL1192" i="1"/>
  <c r="AO1192" i="1" s="1"/>
  <c r="AL1193" i="1"/>
  <c r="AO1193" i="1" s="1"/>
  <c r="AL1194" i="1"/>
  <c r="AO1194" i="1" s="1"/>
  <c r="AL1195" i="1"/>
  <c r="AO1195" i="1" s="1"/>
  <c r="AL1196" i="1"/>
  <c r="AO1196" i="1" s="1"/>
  <c r="AL1197" i="1"/>
  <c r="AO1197" i="1" s="1"/>
  <c r="AL1198" i="1"/>
  <c r="AO1198" i="1" s="1"/>
  <c r="AL1199" i="1"/>
  <c r="AO1199" i="1" s="1"/>
  <c r="AL1200" i="1"/>
  <c r="AO1200" i="1" s="1"/>
  <c r="AL1201" i="1"/>
  <c r="AO1201" i="1" s="1"/>
  <c r="AL1202" i="1"/>
  <c r="AO1202" i="1" s="1"/>
  <c r="AL1203" i="1"/>
  <c r="AO1203" i="1" s="1"/>
  <c r="AL1204" i="1"/>
  <c r="AO1204" i="1" s="1"/>
  <c r="AL1205" i="1"/>
  <c r="AO1205" i="1" s="1"/>
  <c r="AL1206" i="1"/>
  <c r="AO1206" i="1" s="1"/>
  <c r="AL1207" i="1"/>
  <c r="AO1207" i="1" s="1"/>
  <c r="AL1208" i="1"/>
  <c r="AO1208" i="1" s="1"/>
  <c r="AL1209" i="1"/>
  <c r="AO1209" i="1" s="1"/>
  <c r="AL1210" i="1"/>
  <c r="AO1210" i="1" s="1"/>
  <c r="AL1211" i="1"/>
  <c r="AO1211" i="1" s="1"/>
  <c r="AL1212" i="1"/>
  <c r="AO1212" i="1" s="1"/>
  <c r="AL1213" i="1"/>
  <c r="AO1213" i="1" s="1"/>
  <c r="AL1214" i="1"/>
  <c r="AO1214" i="1" s="1"/>
  <c r="AL1215" i="1"/>
  <c r="AO1215" i="1" s="1"/>
  <c r="AL1216" i="1"/>
  <c r="AO1216" i="1" s="1"/>
  <c r="AL1217" i="1"/>
  <c r="AO1217" i="1" s="1"/>
  <c r="AL1218" i="1"/>
  <c r="AO1218" i="1" s="1"/>
  <c r="AL1219" i="1"/>
  <c r="AO1219" i="1" s="1"/>
  <c r="AL1220" i="1"/>
  <c r="AO1220" i="1" s="1"/>
  <c r="AL1221" i="1"/>
  <c r="AO1221" i="1" s="1"/>
  <c r="AL1222" i="1"/>
  <c r="AO1222" i="1" s="1"/>
  <c r="AL1223" i="1"/>
  <c r="AO1223" i="1" s="1"/>
  <c r="AL1224" i="1"/>
  <c r="AO1224" i="1" s="1"/>
  <c r="AL1225" i="1"/>
  <c r="AO1225" i="1" s="1"/>
  <c r="AL1226" i="1"/>
  <c r="AO1226" i="1" s="1"/>
  <c r="AL1227" i="1"/>
  <c r="AO1227" i="1" s="1"/>
  <c r="AL1228" i="1"/>
  <c r="AO1228" i="1" s="1"/>
  <c r="AL1229" i="1"/>
  <c r="AO1229" i="1" s="1"/>
  <c r="AL1230" i="1"/>
  <c r="AO1230" i="1" s="1"/>
  <c r="AL1231" i="1"/>
  <c r="AO1231" i="1" s="1"/>
  <c r="AL1232" i="1"/>
  <c r="AO1232" i="1" s="1"/>
  <c r="AL1233" i="1"/>
  <c r="AO1233" i="1" s="1"/>
  <c r="AL1234" i="1"/>
  <c r="AO1234" i="1" s="1"/>
  <c r="AL1235" i="1"/>
  <c r="AO1235" i="1" s="1"/>
  <c r="AL1236" i="1"/>
  <c r="AO1236" i="1" s="1"/>
  <c r="AL1237" i="1"/>
  <c r="AO1237" i="1" s="1"/>
  <c r="AL1238" i="1"/>
  <c r="AO1238" i="1" s="1"/>
  <c r="AL1239" i="1"/>
  <c r="AO1239" i="1" s="1"/>
  <c r="AL1240" i="1"/>
  <c r="AO1240" i="1" s="1"/>
  <c r="AL1241" i="1"/>
  <c r="AO1241" i="1" s="1"/>
  <c r="AL1242" i="1"/>
  <c r="AO1242" i="1" s="1"/>
  <c r="AL1243" i="1"/>
  <c r="AO1243" i="1" s="1"/>
  <c r="AL1244" i="1"/>
  <c r="AO1244" i="1" s="1"/>
  <c r="AL1245" i="1"/>
  <c r="AO1245" i="1" s="1"/>
  <c r="AL1246" i="1"/>
  <c r="AO1246" i="1" s="1"/>
  <c r="AL1247" i="1"/>
  <c r="AO1247" i="1" s="1"/>
  <c r="AL1248" i="1"/>
  <c r="AO1248" i="1" s="1"/>
  <c r="AL1249" i="1"/>
  <c r="AO1249" i="1" s="1"/>
  <c r="AL1250" i="1"/>
  <c r="AO1250" i="1" s="1"/>
  <c r="AL1251" i="1"/>
  <c r="AO1251" i="1" s="1"/>
  <c r="AL1252" i="1"/>
  <c r="AO1252" i="1" s="1"/>
  <c r="AL1253" i="1"/>
  <c r="AO1253" i="1" s="1"/>
  <c r="AL1254" i="1"/>
  <c r="AO1254" i="1" s="1"/>
  <c r="AL1255" i="1"/>
  <c r="AO1255" i="1" s="1"/>
  <c r="AL1256" i="1"/>
  <c r="AO1256" i="1" s="1"/>
  <c r="AL1257" i="1"/>
  <c r="AO1257" i="1" s="1"/>
  <c r="AL1258" i="1"/>
  <c r="AO1258" i="1" s="1"/>
  <c r="AL1259" i="1"/>
  <c r="AO1259" i="1" s="1"/>
  <c r="AL1260" i="1"/>
  <c r="AO1260" i="1" s="1"/>
  <c r="AL1261" i="1"/>
  <c r="AO1261" i="1" s="1"/>
  <c r="AL1262" i="1"/>
  <c r="AO1262" i="1" s="1"/>
  <c r="AL1263" i="1"/>
  <c r="AO1263" i="1" s="1"/>
  <c r="AL1264" i="1"/>
  <c r="AO1264" i="1" s="1"/>
  <c r="AL1265" i="1"/>
  <c r="AO1265" i="1" s="1"/>
  <c r="AL1266" i="1"/>
  <c r="AO1266" i="1" s="1"/>
  <c r="AL1267" i="1"/>
  <c r="AO1267" i="1" s="1"/>
  <c r="AL1268" i="1"/>
  <c r="AO1268" i="1" s="1"/>
  <c r="AL1269" i="1"/>
  <c r="AO1269" i="1" s="1"/>
  <c r="AL1270" i="1"/>
  <c r="AO1270" i="1" s="1"/>
  <c r="AL1271" i="1"/>
  <c r="AO1271" i="1" s="1"/>
  <c r="AL1272" i="1"/>
  <c r="AO1272" i="1" s="1"/>
  <c r="AL1273" i="1"/>
  <c r="AO1273" i="1" s="1"/>
  <c r="AL1274" i="1"/>
  <c r="AO1274" i="1" s="1"/>
  <c r="AL1275" i="1"/>
  <c r="AO1275" i="1" s="1"/>
  <c r="AL1276" i="1"/>
  <c r="AO1276" i="1" s="1"/>
  <c r="AL1277" i="1"/>
  <c r="AO1277" i="1" s="1"/>
  <c r="AL1278" i="1"/>
  <c r="AO1278" i="1" s="1"/>
  <c r="AL1279" i="1"/>
  <c r="AO1279" i="1" s="1"/>
  <c r="AL1280" i="1"/>
  <c r="AO1280" i="1" s="1"/>
  <c r="AL1281" i="1"/>
  <c r="AO1281" i="1" s="1"/>
  <c r="AL1282" i="1"/>
  <c r="AO1282" i="1" s="1"/>
  <c r="AL1283" i="1"/>
  <c r="AO1283" i="1" s="1"/>
  <c r="AL1284" i="1"/>
  <c r="AO1284" i="1" s="1"/>
  <c r="AL1285" i="1"/>
  <c r="AO1285" i="1" s="1"/>
  <c r="AL1286" i="1"/>
  <c r="AO1286" i="1" s="1"/>
  <c r="AL1287" i="1"/>
  <c r="AO1287" i="1" s="1"/>
  <c r="AL1288" i="1"/>
  <c r="AO1288" i="1" s="1"/>
  <c r="AL1289" i="1"/>
  <c r="AO1289" i="1" s="1"/>
  <c r="AL1290" i="1"/>
  <c r="AO1290" i="1" s="1"/>
  <c r="AL1291" i="1"/>
  <c r="AO1291" i="1" s="1"/>
  <c r="AL1292" i="1"/>
  <c r="AO1292" i="1" s="1"/>
  <c r="AL1293" i="1"/>
  <c r="AO1293" i="1" s="1"/>
  <c r="AL1294" i="1"/>
  <c r="AO1294" i="1" s="1"/>
  <c r="AL1295" i="1"/>
  <c r="AO1295" i="1" s="1"/>
  <c r="AL1296" i="1"/>
  <c r="AO1296" i="1" s="1"/>
  <c r="AL1297" i="1"/>
  <c r="AO1297" i="1" s="1"/>
  <c r="AL1298" i="1"/>
  <c r="AO1298" i="1" s="1"/>
  <c r="AL1299" i="1"/>
  <c r="AO1299" i="1" s="1"/>
  <c r="AL1300" i="1"/>
  <c r="AO1300" i="1" s="1"/>
  <c r="AL1301" i="1"/>
  <c r="AO1301" i="1" s="1"/>
  <c r="AL1302" i="1"/>
  <c r="AO1302" i="1" s="1"/>
  <c r="AL1303" i="1"/>
  <c r="AO1303" i="1" s="1"/>
  <c r="AL1304" i="1"/>
  <c r="AO1304" i="1" s="1"/>
  <c r="AL1305" i="1"/>
  <c r="AO1305" i="1" s="1"/>
  <c r="AL1306" i="1"/>
  <c r="AO1306" i="1" s="1"/>
  <c r="AL1307" i="1"/>
  <c r="AO1307" i="1" s="1"/>
  <c r="AL1308" i="1"/>
  <c r="AO1308" i="1" s="1"/>
  <c r="AL1309" i="1"/>
  <c r="AO1309" i="1" s="1"/>
  <c r="AL1310" i="1"/>
  <c r="AO1310" i="1" s="1"/>
  <c r="AL1311" i="1"/>
  <c r="AO1311" i="1" s="1"/>
  <c r="AL1312" i="1"/>
  <c r="AO1312" i="1" s="1"/>
  <c r="AL1313" i="1"/>
  <c r="AO1313" i="1" s="1"/>
  <c r="AL1314" i="1"/>
  <c r="AO1314" i="1" s="1"/>
  <c r="AL1315" i="1"/>
  <c r="AO1315" i="1" s="1"/>
  <c r="AL1316" i="1"/>
  <c r="AO1316" i="1" s="1"/>
  <c r="AL1317" i="1"/>
  <c r="AO1317" i="1" s="1"/>
  <c r="AL1318" i="1"/>
  <c r="AO1318" i="1" s="1"/>
  <c r="AL1319" i="1"/>
  <c r="AO1319" i="1" s="1"/>
  <c r="AL1320" i="1"/>
  <c r="AO1320" i="1" s="1"/>
  <c r="AL1321" i="1"/>
  <c r="AO1321" i="1" s="1"/>
  <c r="AL1322" i="1"/>
  <c r="AO1322" i="1" s="1"/>
  <c r="AL1323" i="1"/>
  <c r="AO1323" i="1" s="1"/>
  <c r="AL1324" i="1"/>
  <c r="AO1324" i="1" s="1"/>
  <c r="AL1325" i="1"/>
  <c r="AO1325" i="1" s="1"/>
  <c r="AL1326" i="1"/>
  <c r="AO1326" i="1" s="1"/>
  <c r="AL1327" i="1"/>
  <c r="AO1327" i="1" s="1"/>
  <c r="AL1328" i="1"/>
  <c r="AO1328" i="1" s="1"/>
  <c r="AL1329" i="1"/>
  <c r="AO1329" i="1" s="1"/>
  <c r="AL1330" i="1"/>
  <c r="AO1330" i="1" s="1"/>
  <c r="AL1331" i="1"/>
  <c r="AO1331" i="1" s="1"/>
  <c r="AL1332" i="1"/>
  <c r="AO1332" i="1" s="1"/>
  <c r="AL1333" i="1"/>
  <c r="AO1333" i="1" s="1"/>
  <c r="AL1334" i="1"/>
  <c r="AO1334" i="1" s="1"/>
  <c r="AL1335" i="1"/>
  <c r="AO1335" i="1" s="1"/>
  <c r="AL1336" i="1"/>
  <c r="AO1336" i="1" s="1"/>
  <c r="AL1337" i="1"/>
  <c r="AO1337" i="1" s="1"/>
  <c r="AL1338" i="1"/>
  <c r="AO1338" i="1" s="1"/>
  <c r="AL1339" i="1"/>
  <c r="AO1339" i="1" s="1"/>
  <c r="AL1340" i="1"/>
  <c r="AO1340" i="1" s="1"/>
  <c r="AL1341" i="1"/>
  <c r="AO1341" i="1" s="1"/>
  <c r="AL1342" i="1"/>
  <c r="AO1342" i="1" s="1"/>
  <c r="AL1343" i="1"/>
  <c r="AO1343" i="1" s="1"/>
  <c r="AL1344" i="1"/>
  <c r="AO1344" i="1" s="1"/>
  <c r="AL1345" i="1"/>
  <c r="AO1345" i="1" s="1"/>
  <c r="AL1346" i="1"/>
  <c r="AO1346" i="1" s="1"/>
  <c r="AL1347" i="1"/>
  <c r="AO1347" i="1" s="1"/>
  <c r="AL1348" i="1"/>
  <c r="AO1348" i="1" s="1"/>
  <c r="AL1349" i="1"/>
  <c r="AO1349" i="1" s="1"/>
  <c r="AL1350" i="1"/>
  <c r="AO1350" i="1" s="1"/>
  <c r="AL1351" i="1"/>
  <c r="AO1351" i="1" s="1"/>
  <c r="AL1352" i="1"/>
  <c r="AO1352" i="1" s="1"/>
  <c r="AL1353" i="1"/>
  <c r="AO1353" i="1" s="1"/>
  <c r="AL1354" i="1"/>
  <c r="AO1354" i="1" s="1"/>
  <c r="AL1355" i="1"/>
  <c r="AO1355" i="1" s="1"/>
  <c r="AL1356" i="1"/>
  <c r="AO1356" i="1" s="1"/>
  <c r="AL1357" i="1"/>
  <c r="AO1357" i="1" s="1"/>
  <c r="AL1358" i="1"/>
  <c r="AO1358" i="1" s="1"/>
  <c r="AL1359" i="1"/>
  <c r="AO1359" i="1" s="1"/>
  <c r="AL1360" i="1"/>
  <c r="AO1360" i="1" s="1"/>
  <c r="AL1361" i="1"/>
  <c r="AO1361" i="1" s="1"/>
  <c r="AL1362" i="1"/>
  <c r="AO1362" i="1" s="1"/>
  <c r="AL1363" i="1"/>
  <c r="AO1363" i="1" s="1"/>
  <c r="AL1364" i="1"/>
  <c r="AO1364" i="1" s="1"/>
  <c r="AL1365" i="1"/>
  <c r="AO1365" i="1" s="1"/>
  <c r="AL1366" i="1"/>
  <c r="AO1366" i="1" s="1"/>
  <c r="AL1367" i="1"/>
  <c r="AO1367" i="1" s="1"/>
  <c r="AL1368" i="1"/>
  <c r="AO1368" i="1" s="1"/>
  <c r="AL1369" i="1"/>
  <c r="AO1369" i="1" s="1"/>
  <c r="AL1370" i="1"/>
  <c r="AO1370" i="1" s="1"/>
  <c r="AL1371" i="1"/>
  <c r="AO1371" i="1" s="1"/>
  <c r="AL1372" i="1"/>
  <c r="AO1372" i="1" s="1"/>
  <c r="AL1373" i="1"/>
  <c r="AO1373" i="1" s="1"/>
  <c r="AL1374" i="1"/>
  <c r="AO1374" i="1" s="1"/>
  <c r="AL1375" i="1"/>
  <c r="AO1375" i="1" s="1"/>
  <c r="AL1376" i="1"/>
  <c r="AO1376" i="1" s="1"/>
  <c r="AL1377" i="1"/>
  <c r="AO1377" i="1" s="1"/>
  <c r="AL1378" i="1"/>
  <c r="AO1378" i="1" s="1"/>
  <c r="AL1379" i="1"/>
  <c r="AO1379" i="1" s="1"/>
  <c r="AL1380" i="1"/>
  <c r="AO1380" i="1" s="1"/>
  <c r="AL1381" i="1"/>
  <c r="AO1381" i="1" s="1"/>
  <c r="AL1382" i="1"/>
  <c r="AO1382" i="1" s="1"/>
  <c r="AL1383" i="1"/>
  <c r="AO1383" i="1" s="1"/>
  <c r="AL1384" i="1"/>
  <c r="AO1384" i="1" s="1"/>
  <c r="AL1385" i="1"/>
  <c r="AO1385" i="1" s="1"/>
  <c r="AL1386" i="1"/>
  <c r="AO1386" i="1" s="1"/>
  <c r="AL1387" i="1"/>
  <c r="AO1387" i="1" s="1"/>
  <c r="AL1388" i="1"/>
  <c r="AO1388" i="1" s="1"/>
  <c r="AL1389" i="1"/>
  <c r="AO1389" i="1" s="1"/>
  <c r="AL1390" i="1"/>
  <c r="AO1390" i="1" s="1"/>
  <c r="AL1391" i="1"/>
  <c r="AO1391" i="1" s="1"/>
  <c r="AL1392" i="1"/>
  <c r="AO1392" i="1" s="1"/>
  <c r="AL1393" i="1"/>
  <c r="AO1393" i="1" s="1"/>
  <c r="AL1394" i="1"/>
  <c r="AO1394" i="1" s="1"/>
  <c r="AL1395" i="1"/>
  <c r="AO1395" i="1" s="1"/>
  <c r="AL1396" i="1"/>
  <c r="AO1396" i="1" s="1"/>
  <c r="AL1397" i="1"/>
  <c r="AO1397" i="1" s="1"/>
  <c r="AL1398" i="1"/>
  <c r="AO1398" i="1" s="1"/>
  <c r="AL1399" i="1"/>
  <c r="AO1399" i="1" s="1"/>
  <c r="AL1400" i="1"/>
  <c r="AO1400" i="1" s="1"/>
  <c r="AL1401" i="1"/>
  <c r="AO1401" i="1" s="1"/>
  <c r="AL1402" i="1"/>
  <c r="AO1402" i="1" s="1"/>
  <c r="AL1403" i="1"/>
  <c r="AO1403" i="1" s="1"/>
  <c r="AL1404" i="1"/>
  <c r="AO1404" i="1" s="1"/>
  <c r="AL1405" i="1"/>
  <c r="AO1405" i="1" s="1"/>
  <c r="AL1406" i="1"/>
  <c r="AO1406" i="1" s="1"/>
  <c r="AL1407" i="1"/>
  <c r="AO1407" i="1" s="1"/>
  <c r="AL1408" i="1"/>
  <c r="AO1408" i="1" s="1"/>
  <c r="AL1409" i="1"/>
  <c r="AO1409" i="1" s="1"/>
  <c r="AL1410" i="1"/>
  <c r="AO1410" i="1" s="1"/>
  <c r="AL1411" i="1"/>
  <c r="AO1411" i="1" s="1"/>
  <c r="AL1412" i="1"/>
  <c r="AO1412" i="1" s="1"/>
  <c r="AL1413" i="1"/>
  <c r="AO1413" i="1" s="1"/>
  <c r="AL1414" i="1"/>
  <c r="AO1414" i="1" s="1"/>
  <c r="AL1415" i="1"/>
  <c r="AO1415" i="1" s="1"/>
  <c r="AL1416" i="1"/>
  <c r="AO1416" i="1" s="1"/>
  <c r="AL1417" i="1"/>
  <c r="AO1417" i="1" s="1"/>
  <c r="AL1418" i="1"/>
  <c r="AO1418" i="1" s="1"/>
  <c r="AL1419" i="1"/>
  <c r="AO1419" i="1" s="1"/>
  <c r="AL1420" i="1"/>
  <c r="AO1420" i="1" s="1"/>
  <c r="AL1421" i="1"/>
  <c r="AO1421" i="1" s="1"/>
  <c r="AL1422" i="1"/>
  <c r="AO1422" i="1" s="1"/>
  <c r="AL1423" i="1"/>
  <c r="AO1423" i="1" s="1"/>
  <c r="AL1424" i="1"/>
  <c r="AO1424" i="1" s="1"/>
  <c r="AL1425" i="1"/>
  <c r="AO1425" i="1" s="1"/>
  <c r="AL1426" i="1"/>
  <c r="AO1426" i="1" s="1"/>
  <c r="AL1427" i="1"/>
  <c r="AO1427" i="1" s="1"/>
  <c r="AL1428" i="1"/>
  <c r="AO1428" i="1" s="1"/>
  <c r="AL1429" i="1"/>
  <c r="AO1429" i="1" s="1"/>
  <c r="AL1430" i="1"/>
  <c r="AO1430" i="1" s="1"/>
  <c r="AL1431" i="1"/>
  <c r="AO1431" i="1" s="1"/>
  <c r="AL1432" i="1"/>
  <c r="AO1432" i="1" s="1"/>
  <c r="AL1433" i="1"/>
  <c r="AO1433" i="1" s="1"/>
  <c r="AL1434" i="1"/>
  <c r="AO1434" i="1" s="1"/>
  <c r="AL1435" i="1"/>
  <c r="AO1435" i="1" s="1"/>
  <c r="AL1436" i="1"/>
  <c r="AO1436" i="1" s="1"/>
  <c r="AL1437" i="1"/>
  <c r="AO1437" i="1" s="1"/>
  <c r="AL1438" i="1"/>
  <c r="AO1438" i="1" s="1"/>
  <c r="AL1439" i="1"/>
  <c r="AO1439" i="1" s="1"/>
  <c r="AL1440" i="1"/>
  <c r="AO1440" i="1" s="1"/>
  <c r="AL1441" i="1"/>
  <c r="AO1441" i="1" s="1"/>
  <c r="AL1442" i="1"/>
  <c r="AO1442" i="1" s="1"/>
  <c r="AL1443" i="1"/>
  <c r="AO1443" i="1" s="1"/>
  <c r="AL1444" i="1"/>
  <c r="AO1444" i="1" s="1"/>
  <c r="AL1445" i="1"/>
  <c r="AO1445" i="1" s="1"/>
  <c r="AL1446" i="1"/>
  <c r="AO1446" i="1" s="1"/>
  <c r="AL1447" i="1"/>
  <c r="AO1447" i="1" s="1"/>
  <c r="AL1448" i="1"/>
  <c r="AO1448" i="1" s="1"/>
  <c r="AL1449" i="1"/>
  <c r="AO1449" i="1" s="1"/>
  <c r="AL1450" i="1"/>
  <c r="AO1450" i="1" s="1"/>
  <c r="AL1451" i="1"/>
  <c r="AO1451" i="1" s="1"/>
  <c r="AL1452" i="1"/>
  <c r="AO1452" i="1" s="1"/>
  <c r="AL1453" i="1"/>
  <c r="AO1453" i="1" s="1"/>
  <c r="AL1454" i="1"/>
  <c r="AO1454" i="1" s="1"/>
  <c r="AL1455" i="1"/>
  <c r="AO1455" i="1" s="1"/>
  <c r="AL1456" i="1"/>
  <c r="AO1456" i="1" s="1"/>
  <c r="AL1457" i="1"/>
  <c r="AO1457" i="1" s="1"/>
  <c r="AL1458" i="1"/>
  <c r="AO1458" i="1" s="1"/>
  <c r="AL1459" i="1"/>
  <c r="AO1459" i="1" s="1"/>
  <c r="AL1460" i="1"/>
  <c r="AO1460" i="1" s="1"/>
  <c r="AL1461" i="1"/>
  <c r="AO1461" i="1" s="1"/>
  <c r="AL1462" i="1"/>
  <c r="AO1462" i="1" s="1"/>
  <c r="AL1463" i="1"/>
  <c r="AO1463" i="1" s="1"/>
  <c r="AL1464" i="1"/>
  <c r="AO1464" i="1" s="1"/>
  <c r="AL1465" i="1"/>
  <c r="AO1465" i="1" s="1"/>
  <c r="AL1466" i="1"/>
  <c r="AO1466" i="1" s="1"/>
  <c r="AL1467" i="1"/>
  <c r="AO1467" i="1" s="1"/>
  <c r="AL1468" i="1"/>
  <c r="AO1468" i="1" s="1"/>
  <c r="AL1469" i="1"/>
  <c r="AO1469" i="1" s="1"/>
  <c r="AL1470" i="1"/>
  <c r="AO1470" i="1" s="1"/>
  <c r="AL1471" i="1"/>
  <c r="AO1471" i="1" s="1"/>
  <c r="AL1472" i="1"/>
  <c r="AO1472" i="1" s="1"/>
  <c r="AL1473" i="1"/>
  <c r="AO1473" i="1" s="1"/>
  <c r="AL1474" i="1"/>
  <c r="AO1474" i="1" s="1"/>
  <c r="AL1475" i="1"/>
  <c r="AO1475" i="1" s="1"/>
  <c r="AL1476" i="1"/>
  <c r="AO1476" i="1" s="1"/>
  <c r="AL1477" i="1"/>
  <c r="AO1477" i="1" s="1"/>
  <c r="AL1478" i="1"/>
  <c r="AO1478" i="1" s="1"/>
  <c r="AL1479" i="1"/>
  <c r="AO1479" i="1" s="1"/>
  <c r="AL1480" i="1"/>
  <c r="AO1480" i="1" s="1"/>
  <c r="AL1481" i="1"/>
  <c r="AO1481" i="1" s="1"/>
  <c r="AL1482" i="1"/>
  <c r="AO1482" i="1" s="1"/>
  <c r="AL1483" i="1"/>
  <c r="AO1483" i="1" s="1"/>
  <c r="AL1484" i="1"/>
  <c r="AO1484" i="1" s="1"/>
  <c r="AL1485" i="1"/>
  <c r="AO1485" i="1" s="1"/>
  <c r="AL1486" i="1"/>
  <c r="AO1486" i="1" s="1"/>
  <c r="AL1487" i="1"/>
  <c r="AO1487" i="1" s="1"/>
  <c r="AL1488" i="1"/>
  <c r="AO1488" i="1" s="1"/>
  <c r="AL1489" i="1"/>
  <c r="AO1489" i="1" s="1"/>
  <c r="AL1490" i="1"/>
  <c r="AO1490" i="1" s="1"/>
  <c r="AL1491" i="1"/>
  <c r="AO1491" i="1" s="1"/>
  <c r="AL1492" i="1"/>
  <c r="AO1492" i="1" s="1"/>
  <c r="AL1493" i="1"/>
  <c r="AO1493" i="1" s="1"/>
  <c r="AL1494" i="1"/>
  <c r="AO1494" i="1" s="1"/>
  <c r="AL1495" i="1"/>
  <c r="AO1495" i="1" s="1"/>
  <c r="AL1496" i="1"/>
  <c r="AO1496" i="1" s="1"/>
  <c r="AL1497" i="1"/>
  <c r="AO1497" i="1" s="1"/>
  <c r="AL1498" i="1"/>
  <c r="AO1498" i="1" s="1"/>
  <c r="AL1499" i="1"/>
  <c r="AO1499" i="1" s="1"/>
  <c r="AL1500" i="1"/>
  <c r="AO1500" i="1" s="1"/>
  <c r="AL1501" i="1"/>
  <c r="AO1501" i="1" s="1"/>
  <c r="AL1502" i="1"/>
  <c r="AO1502" i="1" s="1"/>
  <c r="AL1503" i="1"/>
  <c r="AO1503" i="1" s="1"/>
  <c r="AL1504" i="1"/>
  <c r="AO1504" i="1" s="1"/>
  <c r="AL1505" i="1"/>
  <c r="AO1505" i="1" s="1"/>
  <c r="AL1506" i="1"/>
  <c r="AO1506" i="1" s="1"/>
  <c r="AL1507" i="1"/>
  <c r="AO1507" i="1" s="1"/>
  <c r="AL1508" i="1"/>
  <c r="AO1508" i="1" s="1"/>
  <c r="AL1509" i="1"/>
  <c r="AO1509" i="1" s="1"/>
  <c r="AL1510" i="1"/>
  <c r="AO1510" i="1" s="1"/>
  <c r="AL1511" i="1"/>
  <c r="AO1511" i="1" s="1"/>
  <c r="AL1512" i="1"/>
  <c r="AO1512" i="1" s="1"/>
  <c r="AL1513" i="1"/>
  <c r="AO1513" i="1" s="1"/>
  <c r="AL1514" i="1"/>
  <c r="AO1514" i="1" s="1"/>
  <c r="AL1515" i="1"/>
  <c r="AO1515" i="1" s="1"/>
  <c r="AL1516" i="1"/>
  <c r="AO1516" i="1" s="1"/>
  <c r="AL1517" i="1"/>
  <c r="AO1517" i="1" s="1"/>
  <c r="AL1518" i="1"/>
  <c r="AO1518" i="1" s="1"/>
  <c r="AL1519" i="1"/>
  <c r="AO1519" i="1" s="1"/>
  <c r="AL1520" i="1"/>
  <c r="AO1520" i="1" s="1"/>
  <c r="AL1521" i="1"/>
  <c r="AO1521" i="1" s="1"/>
  <c r="AL1522" i="1"/>
  <c r="AO1522" i="1" s="1"/>
  <c r="AL1523" i="1"/>
  <c r="AO1523" i="1" s="1"/>
  <c r="AL1524" i="1"/>
  <c r="AO1524" i="1" s="1"/>
  <c r="AL1525" i="1"/>
  <c r="AO1525" i="1" s="1"/>
  <c r="AL1526" i="1"/>
  <c r="AO1526" i="1" s="1"/>
  <c r="AL1527" i="1"/>
  <c r="AO1527" i="1" s="1"/>
  <c r="AL1528" i="1"/>
  <c r="AO1528" i="1" s="1"/>
  <c r="AL1529" i="1"/>
  <c r="AO1529" i="1" s="1"/>
  <c r="AL1530" i="1"/>
  <c r="AO1530" i="1" s="1"/>
  <c r="AL1531" i="1"/>
  <c r="AO1531" i="1" s="1"/>
  <c r="AL1532" i="1"/>
  <c r="AO1532" i="1" s="1"/>
  <c r="AL1533" i="1"/>
  <c r="AO1533" i="1" s="1"/>
  <c r="AL1534" i="1"/>
  <c r="AO1534" i="1" s="1"/>
  <c r="AL1535" i="1"/>
  <c r="AO1535" i="1" s="1"/>
  <c r="AL1536" i="1"/>
  <c r="AO1536" i="1" s="1"/>
  <c r="AL1537" i="1"/>
  <c r="AO1537" i="1" s="1"/>
  <c r="AL1538" i="1"/>
  <c r="AO1538" i="1" s="1"/>
  <c r="AL1539" i="1"/>
  <c r="AO1539" i="1" s="1"/>
  <c r="AL1540" i="1"/>
  <c r="AO1540" i="1" s="1"/>
  <c r="AL1541" i="1"/>
  <c r="AO1541" i="1" s="1"/>
  <c r="AL1542" i="1"/>
  <c r="AO1542" i="1" s="1"/>
  <c r="AL1543" i="1"/>
  <c r="AO1543" i="1" s="1"/>
  <c r="AL1544" i="1"/>
  <c r="AO1544" i="1" s="1"/>
  <c r="AL1545" i="1"/>
  <c r="AO1545" i="1" s="1"/>
  <c r="AL1546" i="1"/>
  <c r="AO1546" i="1" s="1"/>
  <c r="AL1547" i="1"/>
  <c r="AO1547" i="1" s="1"/>
  <c r="AL1548" i="1"/>
  <c r="AO1548" i="1" s="1"/>
  <c r="AL1549" i="1"/>
  <c r="AO1549" i="1" s="1"/>
  <c r="AL1550" i="1"/>
  <c r="AO1550" i="1" s="1"/>
  <c r="AL1551" i="1"/>
  <c r="AO1551" i="1" s="1"/>
  <c r="AL1552" i="1"/>
  <c r="AO1552" i="1" s="1"/>
  <c r="AL1553" i="1"/>
  <c r="AO1553" i="1" s="1"/>
  <c r="AL1554" i="1"/>
  <c r="AO1554" i="1" s="1"/>
  <c r="AL1555" i="1"/>
  <c r="AO1555" i="1" s="1"/>
  <c r="AL1556" i="1"/>
  <c r="AO1556" i="1" s="1"/>
  <c r="AL1557" i="1"/>
  <c r="AO1557" i="1" s="1"/>
  <c r="AL1558" i="1"/>
  <c r="AO1558" i="1" s="1"/>
  <c r="AL1559" i="1"/>
  <c r="AO1559" i="1" s="1"/>
  <c r="AL1560" i="1"/>
  <c r="AO1560" i="1" s="1"/>
  <c r="AL1561" i="1"/>
  <c r="AO1561" i="1" s="1"/>
  <c r="AL1562" i="1"/>
  <c r="AO1562" i="1" s="1"/>
  <c r="AL1563" i="1"/>
  <c r="AO1563" i="1" s="1"/>
  <c r="AL1564" i="1"/>
  <c r="AO1564" i="1" s="1"/>
  <c r="AL1565" i="1"/>
  <c r="AO1565" i="1" s="1"/>
  <c r="AL1566" i="1"/>
  <c r="AO1566" i="1" s="1"/>
  <c r="AL1567" i="1"/>
  <c r="AO1567" i="1" s="1"/>
  <c r="AL1568" i="1"/>
  <c r="AO1568" i="1" s="1"/>
  <c r="AL1569" i="1"/>
  <c r="AO1569" i="1" s="1"/>
  <c r="AL1570" i="1"/>
  <c r="AO1570" i="1" s="1"/>
  <c r="AL1571" i="1"/>
  <c r="AO1571" i="1" s="1"/>
  <c r="AL1572" i="1"/>
  <c r="AO1572" i="1" s="1"/>
  <c r="AL1573" i="1"/>
  <c r="AO1573" i="1" s="1"/>
  <c r="AL1574" i="1"/>
  <c r="AO1574" i="1" s="1"/>
  <c r="AL1575" i="1"/>
  <c r="AO1575" i="1" s="1"/>
  <c r="AL1576" i="1"/>
  <c r="AO1576" i="1" s="1"/>
  <c r="AL1577" i="1"/>
  <c r="AO1577" i="1" s="1"/>
  <c r="AL1578" i="1"/>
  <c r="AO1578" i="1" s="1"/>
  <c r="AL1579" i="1"/>
  <c r="AO1579" i="1" s="1"/>
  <c r="AL1580" i="1"/>
  <c r="AO1580" i="1" s="1"/>
  <c r="AL1581" i="1"/>
  <c r="AO1581" i="1" s="1"/>
  <c r="AL1582" i="1"/>
  <c r="AO1582" i="1" s="1"/>
  <c r="AL1583" i="1"/>
  <c r="AO1583" i="1" s="1"/>
  <c r="AL1584" i="1"/>
  <c r="AO1584" i="1" s="1"/>
  <c r="AL1585" i="1"/>
  <c r="AO1585" i="1" s="1"/>
  <c r="AL1586" i="1"/>
  <c r="AO1586" i="1" s="1"/>
  <c r="AL1587" i="1"/>
  <c r="AO1587" i="1" s="1"/>
  <c r="AL1588" i="1"/>
  <c r="AO1588" i="1" s="1"/>
  <c r="AL1589" i="1"/>
  <c r="AO1589" i="1" s="1"/>
  <c r="AL1590" i="1"/>
  <c r="AO1590" i="1" s="1"/>
  <c r="AL1591" i="1"/>
  <c r="AO1591" i="1" s="1"/>
  <c r="AL1592" i="1"/>
  <c r="AO1592" i="1" s="1"/>
  <c r="AL1593" i="1"/>
  <c r="AO1593" i="1" s="1"/>
  <c r="AL1594" i="1"/>
  <c r="AO1594" i="1" s="1"/>
  <c r="AL1595" i="1"/>
  <c r="AO1595" i="1" s="1"/>
  <c r="AL1596" i="1"/>
  <c r="AO1596" i="1" s="1"/>
  <c r="AL1597" i="1"/>
  <c r="AO1597" i="1" s="1"/>
  <c r="AL1598" i="1"/>
  <c r="AO1598" i="1" s="1"/>
  <c r="AL1599" i="1"/>
  <c r="AO1599" i="1" s="1"/>
  <c r="AL1600" i="1"/>
  <c r="AO1600" i="1" s="1"/>
  <c r="AL1601" i="1"/>
  <c r="AO1601" i="1" s="1"/>
  <c r="AL1602" i="1"/>
  <c r="AO1602" i="1" s="1"/>
  <c r="AL1603" i="1"/>
  <c r="AO1603" i="1" s="1"/>
  <c r="AL1604" i="1"/>
  <c r="AO1604" i="1" s="1"/>
  <c r="AL1605" i="1"/>
  <c r="AO1605" i="1" s="1"/>
  <c r="AL1606" i="1"/>
  <c r="AO1606" i="1" s="1"/>
  <c r="AL1607" i="1"/>
  <c r="AO1607" i="1" s="1"/>
  <c r="AL1608" i="1"/>
  <c r="AO1608" i="1" s="1"/>
  <c r="AL1609" i="1"/>
  <c r="AO1609" i="1" s="1"/>
  <c r="AL1610" i="1"/>
  <c r="AO1610" i="1" s="1"/>
  <c r="AL1611" i="1"/>
  <c r="AO1611" i="1" s="1"/>
  <c r="AL1612" i="1"/>
  <c r="AO1612" i="1" s="1"/>
  <c r="AL1613" i="1"/>
  <c r="AO1613" i="1" s="1"/>
  <c r="AL1614" i="1"/>
  <c r="AO1614" i="1" s="1"/>
  <c r="AL1615" i="1"/>
  <c r="AO1615" i="1" s="1"/>
  <c r="AL1616" i="1"/>
  <c r="AO1616" i="1" s="1"/>
  <c r="AL1617" i="1"/>
  <c r="AO1617" i="1" s="1"/>
  <c r="AL1618" i="1"/>
  <c r="AO1618" i="1" s="1"/>
  <c r="AL1619" i="1"/>
  <c r="AO1619" i="1" s="1"/>
  <c r="AL1620" i="1"/>
  <c r="AO1620" i="1" s="1"/>
  <c r="AL1621" i="1"/>
  <c r="AO1621" i="1" s="1"/>
  <c r="AL1622" i="1"/>
  <c r="AO1622" i="1" s="1"/>
  <c r="AL1623" i="1"/>
  <c r="AO1623" i="1" s="1"/>
  <c r="AL1624" i="1"/>
  <c r="AO1624" i="1" s="1"/>
  <c r="AL1625" i="1"/>
  <c r="AO1625" i="1" s="1"/>
  <c r="AL1626" i="1"/>
  <c r="AO1626" i="1" s="1"/>
  <c r="AL1627" i="1"/>
  <c r="AO1627" i="1" s="1"/>
  <c r="AL1628" i="1"/>
  <c r="AO1628" i="1" s="1"/>
  <c r="AL1629" i="1"/>
  <c r="AO1629" i="1" s="1"/>
  <c r="AL1630" i="1"/>
  <c r="AO1630" i="1" s="1"/>
  <c r="AL1631" i="1"/>
  <c r="AO1631" i="1" s="1"/>
  <c r="AL1632" i="1"/>
  <c r="AO1632" i="1" s="1"/>
  <c r="AL1633" i="1"/>
  <c r="AO1633" i="1" s="1"/>
  <c r="AL1634" i="1"/>
  <c r="AO1634" i="1" s="1"/>
  <c r="AL1635" i="1"/>
  <c r="AO1635" i="1" s="1"/>
  <c r="AL1636" i="1"/>
  <c r="AO1636" i="1" s="1"/>
  <c r="AL1637" i="1"/>
  <c r="AO1637" i="1" s="1"/>
  <c r="AL1638" i="1"/>
  <c r="AO1638" i="1" s="1"/>
  <c r="AL1639" i="1"/>
  <c r="AO1639" i="1" s="1"/>
  <c r="AL1640" i="1"/>
  <c r="AO1640" i="1" s="1"/>
  <c r="AL1641" i="1"/>
  <c r="AO1641" i="1" s="1"/>
  <c r="AL1642" i="1"/>
  <c r="AO1642" i="1" s="1"/>
  <c r="AL1643" i="1"/>
  <c r="AO1643" i="1" s="1"/>
  <c r="AL1644" i="1"/>
  <c r="AO1644" i="1" s="1"/>
  <c r="AL1645" i="1"/>
  <c r="AO1645" i="1" s="1"/>
  <c r="AL1646" i="1"/>
  <c r="AO1646" i="1" s="1"/>
  <c r="AL1647" i="1"/>
  <c r="AO1647" i="1" s="1"/>
  <c r="AL1648" i="1"/>
  <c r="AO1648" i="1" s="1"/>
  <c r="AL1649" i="1"/>
  <c r="AO1649" i="1" s="1"/>
  <c r="AL1650" i="1"/>
  <c r="AO1650" i="1" s="1"/>
  <c r="AL1651" i="1"/>
  <c r="AO1651" i="1" s="1"/>
  <c r="AL1652" i="1"/>
  <c r="AO1652" i="1" s="1"/>
  <c r="AL1653" i="1"/>
  <c r="AO1653" i="1" s="1"/>
  <c r="AL1654" i="1"/>
  <c r="AO1654" i="1" s="1"/>
  <c r="AL1655" i="1"/>
  <c r="AO1655" i="1" s="1"/>
  <c r="AL1656" i="1"/>
  <c r="AO1656" i="1" s="1"/>
  <c r="AL1657" i="1"/>
  <c r="AO1657" i="1" s="1"/>
  <c r="AL1658" i="1"/>
  <c r="AO1658" i="1" s="1"/>
  <c r="AL1659" i="1"/>
  <c r="AO1659" i="1" s="1"/>
  <c r="AL1660" i="1"/>
  <c r="AO1660" i="1" s="1"/>
  <c r="AL1661" i="1"/>
  <c r="AO1661" i="1" s="1"/>
  <c r="AL1662" i="1"/>
  <c r="AO1662" i="1" s="1"/>
  <c r="AL1663" i="1"/>
  <c r="AO1663" i="1" s="1"/>
  <c r="AL1664" i="1"/>
  <c r="AO1664" i="1" s="1"/>
  <c r="AL1665" i="1"/>
  <c r="AO1665" i="1" s="1"/>
  <c r="AL1666" i="1"/>
  <c r="AO1666" i="1" s="1"/>
  <c r="AL1667" i="1"/>
  <c r="AO1667" i="1" s="1"/>
  <c r="AL1668" i="1"/>
  <c r="AO1668" i="1" s="1"/>
  <c r="AL1669" i="1"/>
  <c r="AO1669" i="1" s="1"/>
  <c r="AL1670" i="1"/>
  <c r="AO1670" i="1" s="1"/>
  <c r="AL1671" i="1"/>
  <c r="AO1671" i="1" s="1"/>
  <c r="AL1672" i="1"/>
  <c r="AO1672" i="1" s="1"/>
  <c r="AL1673" i="1"/>
  <c r="AO1673" i="1" s="1"/>
  <c r="AL1674" i="1"/>
  <c r="AO1674" i="1" s="1"/>
  <c r="AL1675" i="1"/>
  <c r="AO1675" i="1" s="1"/>
  <c r="AL1676" i="1"/>
  <c r="AO1676" i="1" s="1"/>
  <c r="AL1677" i="1"/>
  <c r="AO1677" i="1" s="1"/>
  <c r="AL1678" i="1"/>
  <c r="AO1678" i="1" s="1"/>
  <c r="AL1679" i="1"/>
  <c r="AO1679" i="1" s="1"/>
  <c r="AL1680" i="1"/>
  <c r="AO1680" i="1" s="1"/>
  <c r="AL1681" i="1"/>
  <c r="AO1681" i="1" s="1"/>
  <c r="AL1682" i="1"/>
  <c r="AO1682" i="1" s="1"/>
  <c r="AL1683" i="1"/>
  <c r="AO1683" i="1" s="1"/>
  <c r="AL1684" i="1"/>
  <c r="AO1684" i="1" s="1"/>
  <c r="AL1685" i="1"/>
  <c r="AO1685" i="1" s="1"/>
  <c r="AL1686" i="1"/>
  <c r="AO1686" i="1" s="1"/>
  <c r="AL1687" i="1"/>
  <c r="AO1687" i="1" s="1"/>
  <c r="AL1688" i="1"/>
  <c r="AO1688" i="1" s="1"/>
  <c r="AL1689" i="1"/>
  <c r="AO1689" i="1" s="1"/>
  <c r="AL1690" i="1"/>
  <c r="AO1690" i="1" s="1"/>
  <c r="AL1691" i="1"/>
  <c r="AO1691" i="1" s="1"/>
  <c r="AL1692" i="1"/>
  <c r="AO1692" i="1" s="1"/>
  <c r="AL1693" i="1"/>
  <c r="AO1693" i="1" s="1"/>
  <c r="AL1694" i="1"/>
  <c r="AO1694" i="1" s="1"/>
  <c r="AL1695" i="1"/>
  <c r="AO1695" i="1" s="1"/>
  <c r="AL1696" i="1"/>
  <c r="AO1696" i="1" s="1"/>
  <c r="AL1697" i="1"/>
  <c r="AO1697" i="1" s="1"/>
  <c r="AL1698" i="1"/>
  <c r="AO1698" i="1" s="1"/>
  <c r="AL1699" i="1"/>
  <c r="AO1699" i="1" s="1"/>
  <c r="AL1700" i="1"/>
  <c r="AO1700" i="1" s="1"/>
  <c r="AL1701" i="1"/>
  <c r="AO1701" i="1" s="1"/>
  <c r="AL1702" i="1"/>
  <c r="AO1702" i="1" s="1"/>
  <c r="AL1703" i="1"/>
  <c r="AO1703" i="1" s="1"/>
  <c r="AL1704" i="1"/>
  <c r="AO1704" i="1" s="1"/>
  <c r="AL1705" i="1"/>
  <c r="AO1705" i="1" s="1"/>
  <c r="AL1706" i="1"/>
  <c r="AO1706" i="1" s="1"/>
  <c r="AL1707" i="1"/>
  <c r="AO1707" i="1" s="1"/>
  <c r="AL1708" i="1"/>
  <c r="AO1708" i="1" s="1"/>
  <c r="AL1709" i="1"/>
  <c r="AO1709" i="1" s="1"/>
  <c r="AL1710" i="1"/>
  <c r="AO1710" i="1" s="1"/>
  <c r="AL1711" i="1"/>
  <c r="AO1711" i="1" s="1"/>
  <c r="AL1712" i="1"/>
  <c r="AO1712" i="1" s="1"/>
  <c r="AL1713" i="1"/>
  <c r="AO1713" i="1" s="1"/>
  <c r="AL1714" i="1"/>
  <c r="AO1714" i="1" s="1"/>
  <c r="AL1715" i="1"/>
  <c r="AO1715" i="1" s="1"/>
  <c r="AL1716" i="1"/>
  <c r="AO1716" i="1" s="1"/>
  <c r="AL1717" i="1"/>
  <c r="AO1717" i="1" s="1"/>
  <c r="AL1718" i="1"/>
  <c r="AO1718" i="1" s="1"/>
  <c r="AL1719" i="1"/>
  <c r="AO1719" i="1" s="1"/>
  <c r="AL1720" i="1"/>
  <c r="AO1720" i="1" s="1"/>
  <c r="AL1721" i="1"/>
  <c r="AO1721" i="1" s="1"/>
  <c r="AL1722" i="1"/>
  <c r="AO1722" i="1" s="1"/>
  <c r="AL1723" i="1"/>
  <c r="AO1723" i="1" s="1"/>
  <c r="AL1724" i="1"/>
  <c r="AO1724" i="1" s="1"/>
  <c r="AL1725" i="1"/>
  <c r="AO1725" i="1" s="1"/>
  <c r="AL1726" i="1"/>
  <c r="AO1726" i="1" s="1"/>
  <c r="AL1727" i="1"/>
  <c r="AO1727" i="1" s="1"/>
  <c r="AL1728" i="1"/>
  <c r="AO1728" i="1" s="1"/>
  <c r="AL1729" i="1"/>
  <c r="AO1729" i="1" s="1"/>
  <c r="AL1730" i="1"/>
  <c r="AO1730" i="1" s="1"/>
  <c r="AL1731" i="1"/>
  <c r="AO1731" i="1" s="1"/>
  <c r="AL1732" i="1"/>
  <c r="AO1732" i="1" s="1"/>
  <c r="AL1733" i="1"/>
  <c r="AO1733" i="1" s="1"/>
  <c r="AL1734" i="1"/>
  <c r="AO1734" i="1" s="1"/>
  <c r="AL1735" i="1"/>
  <c r="AO1735" i="1" s="1"/>
  <c r="AL1736" i="1"/>
  <c r="AO1736" i="1" s="1"/>
  <c r="AL1737" i="1"/>
  <c r="AO1737" i="1" s="1"/>
  <c r="AL1738" i="1"/>
  <c r="AO1738" i="1" s="1"/>
  <c r="AL1739" i="1"/>
  <c r="AO1739" i="1" s="1"/>
  <c r="AL1740" i="1"/>
  <c r="AO1740" i="1" s="1"/>
  <c r="AL1741" i="1"/>
  <c r="AO1741" i="1" s="1"/>
  <c r="AL1742" i="1"/>
  <c r="AO1742" i="1" s="1"/>
  <c r="AL1743" i="1"/>
  <c r="AO1743" i="1" s="1"/>
  <c r="AL1744" i="1"/>
  <c r="AO1744" i="1" s="1"/>
  <c r="AL1745" i="1"/>
  <c r="AO1745" i="1" s="1"/>
  <c r="AL1746" i="1"/>
  <c r="AO1746" i="1" s="1"/>
  <c r="AL1747" i="1"/>
  <c r="AO1747" i="1" s="1"/>
  <c r="AL1748" i="1"/>
  <c r="AO1748" i="1" s="1"/>
  <c r="AL1749" i="1"/>
  <c r="AO1749" i="1" s="1"/>
  <c r="AL1750" i="1"/>
  <c r="AO1750" i="1" s="1"/>
  <c r="AL1751" i="1"/>
  <c r="AO1751" i="1" s="1"/>
  <c r="AL1752" i="1"/>
  <c r="AO1752" i="1" s="1"/>
  <c r="AL1753" i="1"/>
  <c r="AO1753" i="1" s="1"/>
  <c r="AL1754" i="1"/>
  <c r="AO1754" i="1" s="1"/>
  <c r="AL1755" i="1"/>
  <c r="AO1755" i="1" s="1"/>
  <c r="AL1756" i="1"/>
  <c r="AO1756" i="1" s="1"/>
  <c r="AL1757" i="1"/>
  <c r="AO1757" i="1" s="1"/>
  <c r="AL1758" i="1"/>
  <c r="AO1758" i="1" s="1"/>
  <c r="AL1759" i="1"/>
  <c r="AO1759" i="1" s="1"/>
  <c r="AL1760" i="1"/>
  <c r="AO1760" i="1" s="1"/>
  <c r="AL1761" i="1"/>
  <c r="AO1761" i="1" s="1"/>
  <c r="AL1762" i="1"/>
  <c r="AO1762" i="1" s="1"/>
  <c r="AL1763" i="1"/>
  <c r="AO1763" i="1" s="1"/>
  <c r="AL1764" i="1"/>
  <c r="AO1764" i="1" s="1"/>
  <c r="AL1765" i="1"/>
  <c r="AO1765" i="1" s="1"/>
  <c r="AL1766" i="1"/>
  <c r="AO1766" i="1" s="1"/>
  <c r="AL1767" i="1"/>
  <c r="AO1767" i="1" s="1"/>
  <c r="AL1768" i="1"/>
  <c r="AO1768" i="1" s="1"/>
  <c r="AL1769" i="1"/>
  <c r="AO1769" i="1" s="1"/>
  <c r="AL1770" i="1"/>
  <c r="AO1770" i="1" s="1"/>
  <c r="AL1771" i="1"/>
  <c r="AO1771" i="1" s="1"/>
  <c r="AL1772" i="1"/>
  <c r="AO1772" i="1" s="1"/>
  <c r="AL1773" i="1"/>
  <c r="AO1773" i="1" s="1"/>
  <c r="AL1774" i="1"/>
  <c r="AO1774" i="1" s="1"/>
  <c r="AL1775" i="1"/>
  <c r="AO1775" i="1" s="1"/>
  <c r="AL1776" i="1"/>
  <c r="AO1776" i="1" s="1"/>
  <c r="AL1777" i="1"/>
  <c r="AO1777" i="1" s="1"/>
  <c r="AL1778" i="1"/>
  <c r="AO1778" i="1" s="1"/>
  <c r="AL1779" i="1"/>
  <c r="AO1779" i="1" s="1"/>
  <c r="AL1780" i="1"/>
  <c r="AO1780" i="1" s="1"/>
  <c r="AL1781" i="1"/>
  <c r="AO1781" i="1" s="1"/>
  <c r="AL1782" i="1"/>
  <c r="AO1782" i="1" s="1"/>
  <c r="AL1783" i="1"/>
  <c r="AO1783" i="1" s="1"/>
  <c r="AL1784" i="1"/>
  <c r="AO1784" i="1" s="1"/>
  <c r="AL1785" i="1"/>
  <c r="AO1785" i="1" s="1"/>
  <c r="AL1786" i="1"/>
  <c r="AO1786" i="1" s="1"/>
  <c r="AL1787" i="1"/>
  <c r="AO1787" i="1" s="1"/>
  <c r="AL1788" i="1"/>
  <c r="AO1788" i="1" s="1"/>
  <c r="AL1789" i="1"/>
  <c r="AO1789" i="1" s="1"/>
  <c r="AL1790" i="1"/>
  <c r="AO1790" i="1" s="1"/>
  <c r="AL1791" i="1"/>
  <c r="AO1791" i="1" s="1"/>
  <c r="AL1792" i="1"/>
  <c r="AO1792" i="1" s="1"/>
  <c r="AL1793" i="1"/>
  <c r="AO1793" i="1" s="1"/>
  <c r="AL1794" i="1"/>
  <c r="AO1794" i="1" s="1"/>
  <c r="AL1795" i="1"/>
  <c r="AO1795" i="1" s="1"/>
  <c r="AL1796" i="1"/>
  <c r="AO1796" i="1" s="1"/>
  <c r="AL1797" i="1"/>
  <c r="AO1797" i="1" s="1"/>
  <c r="AL1798" i="1"/>
  <c r="AO1798" i="1" s="1"/>
  <c r="AL1799" i="1"/>
  <c r="AO1799" i="1" s="1"/>
  <c r="AL1800" i="1"/>
  <c r="AO1800" i="1" s="1"/>
  <c r="AL1801" i="1"/>
  <c r="AO1801" i="1" s="1"/>
  <c r="AL1802" i="1"/>
  <c r="AO1802" i="1" s="1"/>
  <c r="AL1803" i="1"/>
  <c r="AO1803" i="1" s="1"/>
  <c r="AL1804" i="1"/>
  <c r="AO1804" i="1" s="1"/>
  <c r="AL1805" i="1"/>
  <c r="AO1805" i="1" s="1"/>
  <c r="AL1806" i="1"/>
  <c r="AO1806" i="1" s="1"/>
  <c r="AL1807" i="1"/>
  <c r="AO1807" i="1" s="1"/>
  <c r="AL1808" i="1"/>
  <c r="AO1808" i="1" s="1"/>
  <c r="AL1809" i="1"/>
  <c r="AO1809" i="1" s="1"/>
  <c r="AL1810" i="1"/>
  <c r="AO1810" i="1" s="1"/>
  <c r="AL1811" i="1"/>
  <c r="AO1811" i="1" s="1"/>
  <c r="AL1812" i="1"/>
  <c r="AO1812" i="1" s="1"/>
  <c r="AL1813" i="1"/>
  <c r="AO1813" i="1" s="1"/>
  <c r="AL1814" i="1"/>
  <c r="AO1814" i="1" s="1"/>
  <c r="AL1815" i="1"/>
  <c r="AO1815" i="1" s="1"/>
  <c r="AL1816" i="1"/>
  <c r="AO1816" i="1" s="1"/>
  <c r="AL1817" i="1"/>
  <c r="AO1817" i="1" s="1"/>
  <c r="AL1818" i="1"/>
  <c r="AO1818" i="1" s="1"/>
  <c r="AL1819" i="1"/>
  <c r="AO1819" i="1" s="1"/>
  <c r="AL1820" i="1"/>
  <c r="AO1820" i="1" s="1"/>
  <c r="AL1821" i="1"/>
  <c r="AO1821" i="1" s="1"/>
  <c r="AL1822" i="1"/>
  <c r="AO1822" i="1" s="1"/>
  <c r="AL1823" i="1"/>
  <c r="AO1823" i="1" s="1"/>
  <c r="AL1824" i="1"/>
  <c r="AO1824" i="1" s="1"/>
  <c r="AL1825" i="1"/>
  <c r="AO1825" i="1" s="1"/>
  <c r="AL1826" i="1"/>
  <c r="AO1826" i="1" s="1"/>
  <c r="AL1827" i="1"/>
  <c r="AO1827" i="1" s="1"/>
  <c r="AL1828" i="1"/>
  <c r="AO1828" i="1" s="1"/>
  <c r="AL1829" i="1"/>
  <c r="AO1829" i="1" s="1"/>
  <c r="AL1830" i="1"/>
  <c r="AO1830" i="1" s="1"/>
  <c r="AL1831" i="1"/>
  <c r="AO1831" i="1" s="1"/>
  <c r="AL1832" i="1"/>
  <c r="AO1832" i="1" s="1"/>
  <c r="AL1833" i="1"/>
  <c r="AO1833" i="1" s="1"/>
  <c r="AL1834" i="1"/>
  <c r="AO1834" i="1" s="1"/>
  <c r="AL1835" i="1"/>
  <c r="AO1835" i="1" s="1"/>
  <c r="AL1836" i="1"/>
  <c r="AO1836" i="1" s="1"/>
  <c r="AL1837" i="1"/>
  <c r="AO1837" i="1" s="1"/>
  <c r="AL1838" i="1"/>
  <c r="AO1838" i="1" s="1"/>
  <c r="AL1839" i="1"/>
  <c r="AO1839" i="1" s="1"/>
  <c r="AL1840" i="1"/>
  <c r="AO1840" i="1" s="1"/>
  <c r="AL1841" i="1"/>
  <c r="AO1841" i="1" s="1"/>
  <c r="AL1842" i="1"/>
  <c r="AO1842" i="1" s="1"/>
  <c r="AL1843" i="1"/>
  <c r="AO1843" i="1" s="1"/>
  <c r="AL1844" i="1"/>
  <c r="AO1844" i="1" s="1"/>
  <c r="AL1845" i="1"/>
  <c r="AO1845" i="1" s="1"/>
  <c r="AL1846" i="1"/>
  <c r="AO1846" i="1" s="1"/>
  <c r="AL1847" i="1"/>
  <c r="AO1847" i="1" s="1"/>
  <c r="AL1848" i="1"/>
  <c r="AO1848" i="1" s="1"/>
  <c r="AL1849" i="1"/>
  <c r="AO1849" i="1" s="1"/>
  <c r="AL1850" i="1"/>
  <c r="AO1850" i="1" s="1"/>
  <c r="AL1851" i="1"/>
  <c r="AO1851" i="1" s="1"/>
  <c r="AL1852" i="1"/>
  <c r="AO1852" i="1" s="1"/>
  <c r="AL1853" i="1"/>
  <c r="AO1853" i="1" s="1"/>
  <c r="AL1854" i="1"/>
  <c r="AO1854" i="1" s="1"/>
  <c r="AL1855" i="1"/>
  <c r="AO1855" i="1" s="1"/>
  <c r="AL1856" i="1"/>
  <c r="AO1856" i="1" s="1"/>
  <c r="AL1857" i="1"/>
  <c r="AO1857" i="1" s="1"/>
  <c r="AL1858" i="1"/>
  <c r="AO1858" i="1" s="1"/>
  <c r="AL1859" i="1"/>
  <c r="AO1859" i="1" s="1"/>
  <c r="AL1860" i="1"/>
  <c r="AO1860" i="1" s="1"/>
  <c r="AL1861" i="1"/>
  <c r="AO1861" i="1" s="1"/>
  <c r="AL1862" i="1"/>
  <c r="AO1862" i="1" s="1"/>
  <c r="AL1863" i="1"/>
  <c r="AO1863" i="1" s="1"/>
  <c r="AL1864" i="1"/>
  <c r="AO1864" i="1" s="1"/>
  <c r="AL1865" i="1"/>
  <c r="AO1865" i="1" s="1"/>
  <c r="AL1866" i="1"/>
  <c r="AO1866" i="1" s="1"/>
  <c r="AL1867" i="1"/>
  <c r="AO1867" i="1" s="1"/>
  <c r="AL1868" i="1"/>
  <c r="AO1868" i="1" s="1"/>
  <c r="AL1869" i="1"/>
  <c r="AO1869" i="1" s="1"/>
  <c r="AL1870" i="1"/>
  <c r="AO1870" i="1" s="1"/>
  <c r="AL1871" i="1"/>
  <c r="AO1871" i="1" s="1"/>
  <c r="AL1872" i="1"/>
  <c r="AO1872" i="1" s="1"/>
  <c r="AL1873" i="1"/>
  <c r="AO1873" i="1" s="1"/>
  <c r="AL1874" i="1"/>
  <c r="AO1874" i="1" s="1"/>
  <c r="AL1875" i="1"/>
  <c r="AO1875" i="1" s="1"/>
  <c r="AL1876" i="1"/>
  <c r="AO1876" i="1" s="1"/>
  <c r="AL1877" i="1"/>
  <c r="AO1877" i="1" s="1"/>
  <c r="AL1878" i="1"/>
  <c r="AO1878" i="1" s="1"/>
  <c r="AL1879" i="1"/>
  <c r="AO1879" i="1" s="1"/>
  <c r="AL1880" i="1"/>
  <c r="AO1880" i="1" s="1"/>
  <c r="AL1881" i="1"/>
  <c r="AO1881" i="1" s="1"/>
  <c r="AL1882" i="1"/>
  <c r="AO1882" i="1" s="1"/>
  <c r="AL1883" i="1"/>
  <c r="AO1883" i="1" s="1"/>
  <c r="AL1884" i="1"/>
  <c r="AO1884" i="1" s="1"/>
  <c r="AL1885" i="1"/>
  <c r="AO1885" i="1" s="1"/>
  <c r="AL1886" i="1"/>
  <c r="AO1886" i="1" s="1"/>
  <c r="AL1887" i="1"/>
  <c r="AO1887" i="1" s="1"/>
  <c r="AL1888" i="1"/>
  <c r="AO1888" i="1" s="1"/>
  <c r="AL1889" i="1"/>
  <c r="AO1889" i="1" s="1"/>
  <c r="AL1890" i="1"/>
  <c r="AO1890" i="1" s="1"/>
  <c r="AL1891" i="1"/>
  <c r="AO1891" i="1" s="1"/>
  <c r="AL1892" i="1"/>
  <c r="AO1892" i="1" s="1"/>
  <c r="AL1893" i="1"/>
  <c r="AO1893" i="1" s="1"/>
  <c r="AL1894" i="1"/>
  <c r="AO1894" i="1" s="1"/>
  <c r="AL1895" i="1"/>
  <c r="AO1895" i="1" s="1"/>
  <c r="AL1896" i="1"/>
  <c r="AO1896" i="1" s="1"/>
  <c r="AL1897" i="1"/>
  <c r="AO1897" i="1" s="1"/>
  <c r="AL1898" i="1"/>
  <c r="AO1898" i="1" s="1"/>
  <c r="AL1899" i="1"/>
  <c r="AO1899" i="1" s="1"/>
  <c r="AL1900" i="1"/>
  <c r="AO1900" i="1" s="1"/>
  <c r="AL1901" i="1"/>
  <c r="AO1901" i="1" s="1"/>
  <c r="AL1902" i="1"/>
  <c r="AO1902" i="1" s="1"/>
  <c r="AL1903" i="1"/>
  <c r="AO1903" i="1" s="1"/>
  <c r="AL1904" i="1"/>
  <c r="AO1904" i="1" s="1"/>
  <c r="AL1905" i="1"/>
  <c r="AO1905" i="1" s="1"/>
  <c r="AL1906" i="1"/>
  <c r="AO1906" i="1" s="1"/>
  <c r="AL1907" i="1"/>
  <c r="AO1907" i="1" s="1"/>
  <c r="AL1908" i="1"/>
  <c r="AO1908" i="1" s="1"/>
  <c r="AL1909" i="1"/>
  <c r="AO1909" i="1" s="1"/>
  <c r="AL1910" i="1"/>
  <c r="AO1910" i="1" s="1"/>
  <c r="AL1911" i="1"/>
  <c r="AO1911" i="1" s="1"/>
  <c r="AL1912" i="1"/>
  <c r="AO1912" i="1" s="1"/>
  <c r="AL1913" i="1"/>
  <c r="AO1913" i="1" s="1"/>
  <c r="AL1914" i="1"/>
  <c r="AO1914" i="1" s="1"/>
  <c r="AL1915" i="1"/>
  <c r="AO1915" i="1" s="1"/>
  <c r="AL1916" i="1"/>
  <c r="AO1916" i="1" s="1"/>
  <c r="AL1917" i="1"/>
  <c r="AO1917" i="1" s="1"/>
  <c r="AL1918" i="1"/>
  <c r="AO1918" i="1" s="1"/>
  <c r="AL1919" i="1"/>
  <c r="AO1919" i="1" s="1"/>
  <c r="AL1920" i="1"/>
  <c r="AO1920" i="1" s="1"/>
  <c r="AL1921" i="1"/>
  <c r="AO1921" i="1" s="1"/>
  <c r="AL1922" i="1"/>
  <c r="AO1922" i="1" s="1"/>
  <c r="AL1923" i="1"/>
  <c r="AO1923" i="1" s="1"/>
  <c r="AL1924" i="1"/>
  <c r="AO1924" i="1" s="1"/>
  <c r="AL1925" i="1"/>
  <c r="AO1925" i="1" s="1"/>
  <c r="AL1926" i="1"/>
  <c r="AO1926" i="1" s="1"/>
  <c r="AL1927" i="1"/>
  <c r="AO1927" i="1" s="1"/>
  <c r="AL1928" i="1"/>
  <c r="AO1928" i="1" s="1"/>
  <c r="AL1929" i="1"/>
  <c r="AO1929" i="1" s="1"/>
  <c r="AL1930" i="1"/>
  <c r="AO1930" i="1" s="1"/>
  <c r="AL1931" i="1"/>
  <c r="AO1931" i="1" s="1"/>
  <c r="AL1932" i="1"/>
  <c r="AO1932" i="1" s="1"/>
  <c r="AL1933" i="1"/>
  <c r="AO1933" i="1" s="1"/>
  <c r="AL1934" i="1"/>
  <c r="AO1934" i="1" s="1"/>
  <c r="AL1935" i="1"/>
  <c r="AO1935" i="1" s="1"/>
  <c r="AL1936" i="1"/>
  <c r="AO1936" i="1" s="1"/>
  <c r="AL1937" i="1"/>
  <c r="AO1937" i="1" s="1"/>
  <c r="AL1938" i="1"/>
  <c r="AO1938" i="1" s="1"/>
  <c r="AL1939" i="1"/>
  <c r="AO1939" i="1" s="1"/>
  <c r="AL1940" i="1"/>
  <c r="AO1940" i="1" s="1"/>
  <c r="AL1941" i="1"/>
  <c r="AO1941" i="1" s="1"/>
  <c r="AL1942" i="1"/>
  <c r="AO1942" i="1" s="1"/>
  <c r="AL1943" i="1"/>
  <c r="AO1943" i="1" s="1"/>
  <c r="AL1944" i="1"/>
  <c r="AO1944" i="1" s="1"/>
  <c r="AL1945" i="1"/>
  <c r="AO1945" i="1" s="1"/>
  <c r="AL1946" i="1"/>
  <c r="AO1946" i="1" s="1"/>
  <c r="AL1947" i="1"/>
  <c r="AO1947" i="1" s="1"/>
  <c r="AL1948" i="1"/>
  <c r="AO1948" i="1" s="1"/>
  <c r="AL1949" i="1"/>
  <c r="AO1949" i="1" s="1"/>
  <c r="AL1950" i="1"/>
  <c r="AO1950" i="1" s="1"/>
  <c r="AL1951" i="1"/>
  <c r="AO1951" i="1" s="1"/>
  <c r="AL1952" i="1"/>
  <c r="AO1952" i="1" s="1"/>
  <c r="AL1953" i="1"/>
  <c r="AO1953" i="1" s="1"/>
  <c r="AL1954" i="1"/>
  <c r="AO1954" i="1" s="1"/>
  <c r="AL1955" i="1"/>
  <c r="AO1955" i="1" s="1"/>
  <c r="AL1956" i="1"/>
  <c r="AO1956" i="1" s="1"/>
  <c r="AL1957" i="1"/>
  <c r="AO1957" i="1" s="1"/>
  <c r="AL1958" i="1"/>
  <c r="AO1958" i="1" s="1"/>
  <c r="AL1959" i="1"/>
  <c r="AO1959" i="1" s="1"/>
  <c r="AL1960" i="1"/>
  <c r="AO1960" i="1" s="1"/>
  <c r="AL1961" i="1"/>
  <c r="AO1961" i="1" s="1"/>
  <c r="AL1962" i="1"/>
  <c r="AO1962" i="1" s="1"/>
  <c r="AL1963" i="1"/>
  <c r="AO1963" i="1" s="1"/>
  <c r="AL1964" i="1"/>
  <c r="AO1964" i="1" s="1"/>
  <c r="AL1965" i="1"/>
  <c r="AO1965" i="1" s="1"/>
  <c r="AL1966" i="1"/>
  <c r="AO1966" i="1" s="1"/>
  <c r="AL1967" i="1"/>
  <c r="AO1967" i="1" s="1"/>
  <c r="AL1968" i="1"/>
  <c r="AO1968" i="1" s="1"/>
  <c r="AL1969" i="1"/>
  <c r="AO1969" i="1" s="1"/>
  <c r="AL1970" i="1"/>
  <c r="AO1970" i="1" s="1"/>
  <c r="AL1971" i="1"/>
  <c r="AO1971" i="1" s="1"/>
  <c r="AL1972" i="1"/>
  <c r="AO1972" i="1" s="1"/>
  <c r="AL1973" i="1"/>
  <c r="AO1973" i="1" s="1"/>
  <c r="AL1974" i="1"/>
  <c r="AO1974" i="1" s="1"/>
  <c r="AL1975" i="1"/>
  <c r="AO1975" i="1" s="1"/>
  <c r="AL1976" i="1"/>
  <c r="AO1976" i="1" s="1"/>
  <c r="AL1977" i="1"/>
  <c r="AO1977" i="1" s="1"/>
  <c r="AL1978" i="1"/>
  <c r="AO1978" i="1" s="1"/>
  <c r="AL1979" i="1"/>
  <c r="AO1979" i="1" s="1"/>
  <c r="AL1980" i="1"/>
  <c r="AO1980" i="1" s="1"/>
  <c r="AL1981" i="1"/>
  <c r="AO1981" i="1" s="1"/>
  <c r="AL1982" i="1"/>
  <c r="AO1982" i="1" s="1"/>
  <c r="AL1983" i="1"/>
  <c r="AO1983" i="1" s="1"/>
  <c r="AL1984" i="1"/>
  <c r="AO1984" i="1" s="1"/>
  <c r="AL1985" i="1"/>
  <c r="AO1985" i="1" s="1"/>
  <c r="AL1986" i="1"/>
  <c r="AO1986" i="1" s="1"/>
  <c r="AL1987" i="1"/>
  <c r="AO1987" i="1" s="1"/>
  <c r="AL1988" i="1"/>
  <c r="AO1988" i="1" s="1"/>
  <c r="AL1989" i="1"/>
  <c r="AO1989" i="1" s="1"/>
  <c r="AL1990" i="1"/>
  <c r="AO1990" i="1" s="1"/>
  <c r="AL1991" i="1"/>
  <c r="AO1991" i="1" s="1"/>
  <c r="AL1992" i="1"/>
  <c r="AO1992" i="1" s="1"/>
  <c r="AL1993" i="1"/>
  <c r="AO1993" i="1" s="1"/>
  <c r="AL1994" i="1"/>
  <c r="AO1994" i="1" s="1"/>
  <c r="AL1995" i="1"/>
  <c r="AO1995" i="1" s="1"/>
  <c r="AL1996" i="1"/>
  <c r="AO1996" i="1" s="1"/>
  <c r="AL1997" i="1"/>
  <c r="AO1997" i="1" s="1"/>
  <c r="AL1998" i="1"/>
  <c r="AO1998" i="1" s="1"/>
  <c r="AL1999" i="1"/>
  <c r="AO1999" i="1" s="1"/>
  <c r="AL2000" i="1"/>
  <c r="AO2000" i="1" s="1"/>
  <c r="AL2001" i="1"/>
  <c r="AO2001" i="1" s="1"/>
  <c r="AL2002" i="1"/>
  <c r="AO2002" i="1" s="1"/>
  <c r="AL2003" i="1"/>
  <c r="AO2003" i="1" s="1"/>
  <c r="AL2004" i="1"/>
  <c r="AO2004" i="1" s="1"/>
  <c r="AL2005" i="1"/>
  <c r="AO2005" i="1" s="1"/>
  <c r="AL2006" i="1"/>
  <c r="AO2006" i="1" s="1"/>
  <c r="AL2007" i="1"/>
  <c r="AO2007" i="1" s="1"/>
  <c r="AL2008" i="1"/>
  <c r="AO2008" i="1" s="1"/>
  <c r="AL2009" i="1"/>
  <c r="AO2009" i="1" s="1"/>
  <c r="AL2010" i="1"/>
  <c r="AO2010" i="1" s="1"/>
  <c r="AL2011" i="1"/>
  <c r="AO2011" i="1" s="1"/>
  <c r="AL2012" i="1"/>
  <c r="AO2012" i="1" s="1"/>
  <c r="AL2013" i="1"/>
  <c r="AO2013" i="1" s="1"/>
  <c r="AL2014" i="1"/>
  <c r="AO2014" i="1" s="1"/>
  <c r="AL2015" i="1"/>
  <c r="AO2015" i="1" s="1"/>
  <c r="AL2016" i="1"/>
  <c r="AO2016" i="1" s="1"/>
  <c r="AL2017" i="1"/>
  <c r="AO2017" i="1" s="1"/>
  <c r="AL2018" i="1"/>
  <c r="AO2018" i="1" s="1"/>
  <c r="AL2019" i="1"/>
  <c r="AO2019" i="1" s="1"/>
  <c r="AL2020" i="1"/>
  <c r="AO2020" i="1" s="1"/>
  <c r="AL2021" i="1"/>
  <c r="AO2021" i="1" s="1"/>
  <c r="AL2022" i="1"/>
  <c r="AO2022" i="1" s="1"/>
  <c r="AL2023" i="1"/>
  <c r="AO2023" i="1" s="1"/>
  <c r="AL2024" i="1"/>
  <c r="AO2024" i="1" s="1"/>
  <c r="AL2025" i="1"/>
  <c r="AO2025" i="1" s="1"/>
  <c r="AL2026" i="1"/>
  <c r="AO2026" i="1" s="1"/>
  <c r="AL2027" i="1"/>
  <c r="AO2027" i="1" s="1"/>
  <c r="AL2028" i="1"/>
  <c r="AO2028" i="1" s="1"/>
  <c r="AL2029" i="1"/>
  <c r="AO2029" i="1" s="1"/>
  <c r="AL2030" i="1"/>
  <c r="AO2030" i="1" s="1"/>
  <c r="AL2031" i="1"/>
  <c r="AO2031" i="1" s="1"/>
  <c r="AL2032" i="1"/>
  <c r="AO2032" i="1" s="1"/>
  <c r="AL2033" i="1"/>
  <c r="AO2033" i="1" s="1"/>
  <c r="AL2034" i="1"/>
  <c r="AO2034" i="1" s="1"/>
  <c r="AL2035" i="1"/>
  <c r="AO2035" i="1" s="1"/>
  <c r="AL2036" i="1"/>
  <c r="AO2036" i="1" s="1"/>
  <c r="AL2037" i="1"/>
  <c r="AO2037" i="1" s="1"/>
  <c r="AL2038" i="1"/>
  <c r="AO2038" i="1" s="1"/>
  <c r="AL2039" i="1"/>
  <c r="AO2039" i="1" s="1"/>
  <c r="AL2040" i="1"/>
  <c r="AO2040" i="1" s="1"/>
  <c r="AL2041" i="1"/>
  <c r="AO2041" i="1" s="1"/>
  <c r="AL2042" i="1"/>
  <c r="AO2042" i="1" s="1"/>
  <c r="AL2043" i="1"/>
  <c r="AO2043" i="1" s="1"/>
  <c r="AL2044" i="1"/>
  <c r="AO2044" i="1" s="1"/>
  <c r="AL2045" i="1"/>
  <c r="AO2045" i="1" s="1"/>
  <c r="AL2046" i="1"/>
  <c r="AO2046" i="1" s="1"/>
  <c r="AL2047" i="1"/>
  <c r="AO2047" i="1" s="1"/>
  <c r="AL2048" i="1"/>
  <c r="AO2048" i="1" s="1"/>
  <c r="AL2049" i="1"/>
  <c r="AO2049" i="1" s="1"/>
  <c r="AL2050" i="1"/>
  <c r="AO2050" i="1" s="1"/>
  <c r="AL2051" i="1"/>
  <c r="AO2051" i="1" s="1"/>
  <c r="AL2052" i="1"/>
  <c r="AO2052" i="1" s="1"/>
  <c r="AL2053" i="1"/>
  <c r="AO2053" i="1" s="1"/>
  <c r="AL2054" i="1"/>
  <c r="AO2054" i="1" s="1"/>
  <c r="AL2055" i="1"/>
  <c r="AO2055" i="1" s="1"/>
  <c r="AL2056" i="1"/>
  <c r="AO2056" i="1" s="1"/>
  <c r="AL2057" i="1"/>
  <c r="AO2057" i="1" s="1"/>
  <c r="AL2058" i="1"/>
  <c r="AO2058" i="1" s="1"/>
  <c r="AL2059" i="1"/>
  <c r="AO2059" i="1" s="1"/>
  <c r="AL2060" i="1"/>
  <c r="AO2060" i="1" s="1"/>
  <c r="AL2061" i="1"/>
  <c r="AO2061" i="1" s="1"/>
  <c r="AL2062" i="1"/>
  <c r="AO2062" i="1" s="1"/>
  <c r="AL2063" i="1"/>
  <c r="AO2063" i="1" s="1"/>
  <c r="AL2064" i="1"/>
  <c r="AO2064" i="1" s="1"/>
  <c r="AL2065" i="1"/>
  <c r="AO2065" i="1" s="1"/>
  <c r="AL2066" i="1"/>
  <c r="AO2066" i="1" s="1"/>
  <c r="AL2067" i="1"/>
  <c r="AO2067" i="1" s="1"/>
  <c r="AL2068" i="1"/>
  <c r="AO2068" i="1" s="1"/>
  <c r="AL2069" i="1"/>
  <c r="AO2069" i="1" s="1"/>
  <c r="AL2070" i="1"/>
  <c r="AO2070" i="1" s="1"/>
  <c r="AL2071" i="1"/>
  <c r="AO2071" i="1" s="1"/>
  <c r="AL2072" i="1"/>
  <c r="AO2072" i="1" s="1"/>
  <c r="AL2073" i="1"/>
  <c r="AO2073" i="1" s="1"/>
  <c r="AL2074" i="1"/>
  <c r="AO2074" i="1" s="1"/>
  <c r="AL2075" i="1"/>
  <c r="AO2075" i="1" s="1"/>
  <c r="AL2076" i="1"/>
  <c r="AO2076" i="1" s="1"/>
  <c r="AL2077" i="1"/>
  <c r="AO2077" i="1" s="1"/>
  <c r="AL2078" i="1"/>
  <c r="AO2078" i="1" s="1"/>
  <c r="AL2079" i="1"/>
  <c r="AO2079" i="1" s="1"/>
  <c r="AL2080" i="1"/>
  <c r="AO2080" i="1" s="1"/>
  <c r="AL2081" i="1"/>
  <c r="AO2081" i="1" s="1"/>
  <c r="AL2082" i="1"/>
  <c r="AO2082" i="1" s="1"/>
  <c r="AL2083" i="1"/>
  <c r="AO2083" i="1" s="1"/>
  <c r="AL2084" i="1"/>
  <c r="AO2084" i="1" s="1"/>
  <c r="AL2085" i="1"/>
  <c r="AO2085" i="1" s="1"/>
  <c r="AL2086" i="1"/>
  <c r="AO2086" i="1" s="1"/>
  <c r="AL2087" i="1"/>
  <c r="AO2087" i="1" s="1"/>
  <c r="AL2088" i="1"/>
  <c r="AO2088" i="1" s="1"/>
  <c r="AL2089" i="1"/>
  <c r="AO2089" i="1" s="1"/>
  <c r="AL2090" i="1"/>
  <c r="AO2090" i="1" s="1"/>
  <c r="AL2091" i="1"/>
  <c r="AO2091" i="1" s="1"/>
  <c r="AL2092" i="1"/>
  <c r="AO2092" i="1" s="1"/>
  <c r="AL2093" i="1"/>
  <c r="AO2093" i="1" s="1"/>
  <c r="AL2094" i="1"/>
  <c r="AO2094" i="1" s="1"/>
  <c r="AL2095" i="1"/>
  <c r="AO2095" i="1" s="1"/>
  <c r="AL2096" i="1"/>
  <c r="AO2096" i="1" s="1"/>
  <c r="AL2097" i="1"/>
  <c r="AO2097" i="1" s="1"/>
  <c r="AL2098" i="1"/>
  <c r="AO2098" i="1" s="1"/>
  <c r="AL2099" i="1"/>
  <c r="AO2099" i="1" s="1"/>
  <c r="AL2100" i="1"/>
  <c r="AO2100" i="1" s="1"/>
  <c r="AL2101" i="1"/>
  <c r="AO2101" i="1" s="1"/>
  <c r="AL2102" i="1"/>
  <c r="AO2102" i="1" s="1"/>
  <c r="AL2103" i="1"/>
  <c r="AO2103" i="1" s="1"/>
  <c r="AL2104" i="1"/>
  <c r="AO2104" i="1" s="1"/>
  <c r="AL2105" i="1"/>
  <c r="AO2105" i="1" s="1"/>
  <c r="AL2106" i="1"/>
  <c r="AO2106" i="1" s="1"/>
  <c r="AL2107" i="1"/>
  <c r="AO2107" i="1" s="1"/>
  <c r="AL2108" i="1"/>
  <c r="AO2108" i="1" s="1"/>
  <c r="AL2109" i="1"/>
  <c r="AO2109" i="1" s="1"/>
  <c r="AL2110" i="1"/>
  <c r="AO2110" i="1" s="1"/>
  <c r="AL2111" i="1"/>
  <c r="AO2111" i="1" s="1"/>
  <c r="AL2112" i="1"/>
  <c r="AO2112" i="1" s="1"/>
  <c r="AL2113" i="1"/>
  <c r="AO2113" i="1" s="1"/>
  <c r="AL2114" i="1"/>
  <c r="AO2114" i="1" s="1"/>
  <c r="AL2115" i="1"/>
  <c r="AO2115" i="1" s="1"/>
  <c r="AL2116" i="1"/>
  <c r="AO2116" i="1" s="1"/>
  <c r="AL2117" i="1"/>
  <c r="AO2117" i="1" s="1"/>
  <c r="AL2118" i="1"/>
  <c r="AO2118" i="1" s="1"/>
  <c r="AL2119" i="1"/>
  <c r="AO2119" i="1" s="1"/>
  <c r="AL2120" i="1"/>
  <c r="AO2120" i="1" s="1"/>
  <c r="AL2121" i="1"/>
  <c r="AO2121" i="1" s="1"/>
  <c r="AL2122" i="1"/>
  <c r="AO2122" i="1" s="1"/>
  <c r="AL2123" i="1"/>
  <c r="AO2123" i="1" s="1"/>
  <c r="AL2124" i="1"/>
  <c r="AO2124" i="1" s="1"/>
  <c r="AL2125" i="1"/>
  <c r="AO2125" i="1" s="1"/>
  <c r="AL2126" i="1"/>
  <c r="AO2126" i="1" s="1"/>
  <c r="AL2127" i="1"/>
  <c r="AO2127" i="1" s="1"/>
  <c r="AL2128" i="1"/>
  <c r="AO2128" i="1" s="1"/>
  <c r="AL2129" i="1"/>
  <c r="AO2129" i="1" s="1"/>
  <c r="AL2130" i="1"/>
  <c r="AO2130" i="1" s="1"/>
  <c r="AL2131" i="1"/>
  <c r="AO2131" i="1" s="1"/>
  <c r="AL2132" i="1"/>
  <c r="AO2132" i="1" s="1"/>
  <c r="AL2133" i="1"/>
  <c r="AO2133" i="1" s="1"/>
  <c r="AL2134" i="1"/>
  <c r="AO2134" i="1" s="1"/>
  <c r="AL2135" i="1"/>
  <c r="AO2135" i="1" s="1"/>
  <c r="AL2136" i="1"/>
  <c r="AO2136" i="1" s="1"/>
  <c r="AL2137" i="1"/>
  <c r="AO2137" i="1" s="1"/>
  <c r="AL2138" i="1"/>
  <c r="AO2138" i="1" s="1"/>
  <c r="AL2139" i="1"/>
  <c r="AO2139" i="1" s="1"/>
  <c r="AL2140" i="1"/>
  <c r="AO2140" i="1" s="1"/>
  <c r="AL2141" i="1"/>
  <c r="AO2141" i="1" s="1"/>
  <c r="AL2142" i="1"/>
  <c r="AO2142" i="1" s="1"/>
  <c r="AL2143" i="1"/>
  <c r="AO2143" i="1" s="1"/>
  <c r="AL2144" i="1"/>
  <c r="AO2144" i="1" s="1"/>
  <c r="AL2145" i="1"/>
  <c r="AO2145" i="1" s="1"/>
  <c r="AL2146" i="1"/>
  <c r="AO2146" i="1" s="1"/>
  <c r="AL2147" i="1"/>
  <c r="AO2147" i="1" s="1"/>
  <c r="AL2148" i="1"/>
  <c r="AO2148" i="1" s="1"/>
  <c r="AL2149" i="1"/>
  <c r="AO2149" i="1" s="1"/>
  <c r="AL2150" i="1"/>
  <c r="AO2150" i="1" s="1"/>
  <c r="AL2151" i="1"/>
  <c r="AO2151" i="1" s="1"/>
  <c r="AL2152" i="1"/>
  <c r="AO2152" i="1" s="1"/>
  <c r="AL2153" i="1"/>
  <c r="AO2153" i="1" s="1"/>
  <c r="AL2154" i="1"/>
  <c r="AO2154" i="1" s="1"/>
  <c r="AL2155" i="1"/>
  <c r="AO2155" i="1" s="1"/>
  <c r="AL2156" i="1"/>
  <c r="AO2156" i="1" s="1"/>
  <c r="AL2157" i="1"/>
  <c r="AO2157" i="1" s="1"/>
  <c r="AL2158" i="1"/>
  <c r="AO2158" i="1" s="1"/>
  <c r="AL2159" i="1"/>
  <c r="AO2159" i="1" s="1"/>
  <c r="AL2160" i="1"/>
  <c r="AO2160" i="1" s="1"/>
  <c r="AL2161" i="1"/>
  <c r="AO2161" i="1" s="1"/>
  <c r="AL2162" i="1"/>
  <c r="AO2162" i="1" s="1"/>
  <c r="AL2163" i="1"/>
  <c r="AO2163" i="1" s="1"/>
  <c r="AL2164" i="1"/>
  <c r="AO2164" i="1" s="1"/>
  <c r="AL2165" i="1"/>
  <c r="AO2165" i="1" s="1"/>
  <c r="AL2166" i="1"/>
  <c r="AO2166" i="1" s="1"/>
  <c r="AL2167" i="1"/>
  <c r="AO2167" i="1" s="1"/>
  <c r="AL2168" i="1"/>
  <c r="AO2168" i="1" s="1"/>
  <c r="AL2169" i="1"/>
  <c r="AO2169" i="1" s="1"/>
  <c r="AL2170" i="1"/>
  <c r="AO2170" i="1" s="1"/>
  <c r="AL2171" i="1"/>
  <c r="AO2171" i="1" s="1"/>
  <c r="AL2172" i="1"/>
  <c r="AO2172" i="1" s="1"/>
  <c r="AL2173" i="1"/>
  <c r="AO2173" i="1" s="1"/>
  <c r="AL2174" i="1"/>
  <c r="AO2174" i="1" s="1"/>
  <c r="AL2175" i="1"/>
  <c r="AO2175" i="1" s="1"/>
  <c r="AL2176" i="1"/>
  <c r="AO2176" i="1" s="1"/>
  <c r="AL2177" i="1"/>
  <c r="AO2177" i="1" s="1"/>
  <c r="AL2178" i="1"/>
  <c r="AO2178" i="1" s="1"/>
  <c r="AL2179" i="1"/>
  <c r="AO2179" i="1" s="1"/>
  <c r="AL2180" i="1"/>
  <c r="AO2180" i="1" s="1"/>
  <c r="AL2181" i="1"/>
  <c r="AO2181" i="1" s="1"/>
  <c r="AL2182" i="1"/>
  <c r="AO2182" i="1" s="1"/>
  <c r="AL2183" i="1"/>
  <c r="AO2183" i="1" s="1"/>
  <c r="AL2184" i="1"/>
  <c r="AO2184" i="1" s="1"/>
  <c r="AL2185" i="1"/>
  <c r="AO2185" i="1" s="1"/>
  <c r="AL2186" i="1"/>
  <c r="AO2186" i="1" s="1"/>
  <c r="AL2187" i="1"/>
  <c r="AO2187" i="1" s="1"/>
  <c r="AL2188" i="1"/>
  <c r="AO2188" i="1" s="1"/>
  <c r="AL2189" i="1"/>
  <c r="AO2189" i="1" s="1"/>
  <c r="AL2190" i="1"/>
  <c r="AO2190" i="1" s="1"/>
  <c r="AL2191" i="1"/>
  <c r="AO2191" i="1" s="1"/>
  <c r="AL2192" i="1"/>
  <c r="AO2192" i="1" s="1"/>
  <c r="AL2193" i="1"/>
  <c r="AO2193" i="1" s="1"/>
  <c r="AL2194" i="1"/>
  <c r="AO2194" i="1" s="1"/>
  <c r="AL2195" i="1"/>
  <c r="AO2195" i="1" s="1"/>
  <c r="AL2196" i="1"/>
  <c r="AO2196" i="1" s="1"/>
  <c r="AL2197" i="1"/>
  <c r="AO2197" i="1" s="1"/>
  <c r="AL2198" i="1"/>
  <c r="AO2198" i="1" s="1"/>
  <c r="AL2199" i="1"/>
  <c r="AO2199" i="1" s="1"/>
  <c r="AL2200" i="1"/>
  <c r="AO2200" i="1" s="1"/>
  <c r="AL2201" i="1"/>
  <c r="AO2201" i="1" s="1"/>
  <c r="AL2202" i="1"/>
  <c r="AO2202" i="1" s="1"/>
  <c r="AL2203" i="1"/>
  <c r="AO2203" i="1" s="1"/>
  <c r="AL2204" i="1"/>
  <c r="AO2204" i="1" s="1"/>
  <c r="AL2205" i="1"/>
  <c r="AO2205" i="1" s="1"/>
  <c r="AL2206" i="1"/>
  <c r="AO2206" i="1" s="1"/>
  <c r="AP2206" i="1" l="1"/>
  <c r="AP2205" i="1"/>
  <c r="AP2204" i="1"/>
  <c r="AP2203" i="1"/>
  <c r="AP2202" i="1"/>
  <c r="AP2201" i="1"/>
  <c r="AP2200" i="1"/>
  <c r="AP2199" i="1"/>
  <c r="AP2198" i="1"/>
  <c r="AP2197" i="1"/>
  <c r="AP2196" i="1"/>
  <c r="AP2195" i="1"/>
  <c r="AP2194" i="1"/>
  <c r="AP2193" i="1"/>
  <c r="AP2192" i="1"/>
  <c r="AP2191" i="1"/>
  <c r="AP2190" i="1"/>
  <c r="AP2189" i="1"/>
  <c r="AP2188" i="1"/>
  <c r="AP2187" i="1"/>
  <c r="AP2186" i="1"/>
  <c r="AP2185" i="1"/>
  <c r="AP2184" i="1"/>
  <c r="AP2183" i="1"/>
  <c r="AP2182" i="1"/>
  <c r="AP2181" i="1"/>
  <c r="AP2180" i="1"/>
  <c r="AP2179" i="1"/>
  <c r="AP2178" i="1"/>
  <c r="AP2177" i="1"/>
  <c r="AP2176" i="1"/>
  <c r="AP2175" i="1"/>
  <c r="AP2174" i="1"/>
  <c r="AP2173" i="1"/>
  <c r="AP2172" i="1"/>
  <c r="AP2171" i="1"/>
  <c r="AP2170" i="1"/>
  <c r="AP2169" i="1"/>
  <c r="AP2168" i="1"/>
  <c r="AP2167" i="1"/>
  <c r="AP2166" i="1"/>
  <c r="AP2165" i="1"/>
  <c r="AP2164" i="1"/>
  <c r="AP2163" i="1"/>
  <c r="AP2162" i="1"/>
  <c r="AP2161" i="1"/>
  <c r="AP2160" i="1"/>
  <c r="AP2159" i="1"/>
  <c r="AP2158" i="1"/>
  <c r="AP2157" i="1"/>
  <c r="AP2156" i="1"/>
  <c r="AP2155" i="1"/>
  <c r="AP2154" i="1"/>
  <c r="AP2153" i="1"/>
  <c r="AP2152" i="1"/>
  <c r="AP2151" i="1"/>
  <c r="AP2150" i="1"/>
  <c r="AP2149" i="1"/>
  <c r="AP2148" i="1"/>
  <c r="AP2147" i="1"/>
  <c r="AP2146" i="1"/>
  <c r="AP2145" i="1"/>
  <c r="AP2144" i="1"/>
  <c r="AP2143" i="1"/>
  <c r="AP2142" i="1"/>
  <c r="AP2141" i="1"/>
  <c r="AP2140" i="1"/>
  <c r="AP2139" i="1"/>
  <c r="AP2138" i="1"/>
  <c r="AP2137" i="1"/>
  <c r="AP2136" i="1"/>
  <c r="AP2135" i="1"/>
  <c r="AP2134" i="1"/>
  <c r="AP2133" i="1"/>
  <c r="AP2132" i="1"/>
  <c r="AP2131" i="1"/>
  <c r="AP2130" i="1"/>
  <c r="AP2129" i="1"/>
  <c r="AP2128" i="1"/>
  <c r="AP2127" i="1"/>
  <c r="AP2126" i="1"/>
  <c r="AP2125" i="1"/>
  <c r="AP2124" i="1"/>
  <c r="AP2123" i="1"/>
  <c r="AP2122" i="1"/>
  <c r="AP2121" i="1"/>
  <c r="AP2120" i="1"/>
  <c r="AP2119" i="1"/>
  <c r="AP2118" i="1"/>
  <c r="AP2117" i="1"/>
  <c r="AP2116" i="1"/>
  <c r="AP2115" i="1"/>
  <c r="AP2114" i="1"/>
  <c r="AP2113" i="1"/>
  <c r="AP2112" i="1"/>
  <c r="AP2111" i="1"/>
  <c r="AP2110" i="1"/>
  <c r="AP2109" i="1"/>
  <c r="AP2108" i="1"/>
  <c r="AP2107" i="1"/>
  <c r="AP2106" i="1"/>
  <c r="AP2105" i="1"/>
  <c r="AP2104" i="1"/>
  <c r="AP2103" i="1"/>
  <c r="AP2102" i="1"/>
  <c r="AP2101" i="1"/>
  <c r="AP2100" i="1"/>
  <c r="AP2099" i="1"/>
  <c r="AP2098" i="1"/>
  <c r="AP2097" i="1"/>
  <c r="AP2096" i="1"/>
  <c r="AP2095" i="1"/>
  <c r="AP2094" i="1"/>
  <c r="AP2093" i="1"/>
  <c r="AP2092" i="1"/>
  <c r="AP2091" i="1"/>
  <c r="AP2090" i="1"/>
  <c r="AP2089" i="1"/>
  <c r="AP2088" i="1"/>
  <c r="AP2087" i="1"/>
  <c r="AP2086" i="1"/>
  <c r="AP2085" i="1"/>
  <c r="AP2084" i="1"/>
  <c r="AP2083" i="1"/>
  <c r="AP2082" i="1"/>
  <c r="AP2081" i="1"/>
  <c r="AP2080" i="1"/>
  <c r="AP2079" i="1"/>
  <c r="AP2078" i="1"/>
  <c r="AP2077" i="1"/>
  <c r="AP2076" i="1"/>
  <c r="AP2075" i="1"/>
  <c r="AP2074" i="1"/>
  <c r="AP2073" i="1"/>
  <c r="AP2072" i="1"/>
  <c r="AP2071" i="1"/>
  <c r="AP2070" i="1"/>
  <c r="AP2069" i="1"/>
  <c r="AP2068" i="1"/>
  <c r="AP2067" i="1"/>
  <c r="AP2066" i="1"/>
  <c r="AP2065" i="1"/>
  <c r="AP2064" i="1"/>
  <c r="AP2063" i="1"/>
  <c r="AP2062" i="1"/>
  <c r="AP2061" i="1"/>
  <c r="AP2060" i="1"/>
  <c r="AP2059" i="1"/>
  <c r="AP2058" i="1"/>
  <c r="AP2057" i="1"/>
  <c r="AP2056" i="1"/>
  <c r="AP2055" i="1"/>
  <c r="AP2054" i="1"/>
  <c r="AP2053" i="1"/>
  <c r="AP2052" i="1"/>
  <c r="AP2051" i="1"/>
  <c r="AP2050" i="1"/>
  <c r="AP2049" i="1"/>
  <c r="AP2048" i="1"/>
  <c r="AP2047" i="1"/>
  <c r="AP2046" i="1"/>
  <c r="AP2045" i="1"/>
  <c r="AP2044" i="1"/>
  <c r="AP2043" i="1"/>
  <c r="AP2042" i="1"/>
  <c r="AP2041" i="1"/>
  <c r="AP2040" i="1"/>
  <c r="AP2039" i="1"/>
  <c r="AP2038" i="1"/>
  <c r="AP2037" i="1"/>
  <c r="AP2036" i="1"/>
  <c r="AP2035" i="1"/>
  <c r="AP2034" i="1"/>
  <c r="AP2033" i="1"/>
  <c r="AP2032" i="1"/>
  <c r="AP2031" i="1"/>
  <c r="AP2030" i="1"/>
  <c r="AP2029" i="1"/>
  <c r="AP2028" i="1"/>
  <c r="AP2027" i="1"/>
  <c r="AP2026" i="1"/>
  <c r="AP2025" i="1"/>
  <c r="AP2024" i="1"/>
  <c r="AP2023" i="1"/>
  <c r="AP2022" i="1"/>
  <c r="AP2021" i="1"/>
  <c r="AP2020" i="1"/>
  <c r="AP2019" i="1"/>
  <c r="AP2018" i="1"/>
  <c r="AP2017" i="1"/>
  <c r="AP2016" i="1"/>
  <c r="AP2015" i="1"/>
  <c r="AP2014" i="1"/>
  <c r="AP2013" i="1"/>
  <c r="AP2012" i="1"/>
  <c r="AP2011" i="1"/>
  <c r="AP2010" i="1"/>
  <c r="AP2009" i="1"/>
  <c r="AP2008" i="1"/>
  <c r="AP2007" i="1"/>
  <c r="AP2006" i="1"/>
  <c r="AP2005" i="1"/>
  <c r="AP2004" i="1"/>
  <c r="AP2003" i="1"/>
  <c r="AP2002" i="1"/>
  <c r="AP2001" i="1"/>
  <c r="AP2000" i="1"/>
  <c r="AP1999" i="1"/>
  <c r="AP1998" i="1"/>
  <c r="AP1997" i="1"/>
  <c r="AP1996" i="1"/>
  <c r="AP1995" i="1"/>
  <c r="AP1994" i="1"/>
  <c r="AP1993" i="1"/>
  <c r="AP1992" i="1"/>
  <c r="AP1991" i="1"/>
  <c r="AP1990" i="1"/>
  <c r="AP1989" i="1"/>
  <c r="AP1988" i="1"/>
  <c r="AP1987" i="1"/>
  <c r="AP1986" i="1"/>
  <c r="AP1985" i="1"/>
  <c r="AP1984" i="1"/>
  <c r="AP1983" i="1"/>
  <c r="AP1982" i="1"/>
  <c r="AP1981" i="1"/>
  <c r="AP1980" i="1"/>
  <c r="AP1979" i="1"/>
  <c r="AP1978" i="1"/>
  <c r="AP1977" i="1"/>
  <c r="AP1976" i="1"/>
  <c r="AP1975" i="1"/>
  <c r="AP1974" i="1"/>
  <c r="AP1973" i="1"/>
  <c r="AP1972" i="1"/>
  <c r="AP1971" i="1"/>
  <c r="AP1970" i="1"/>
  <c r="AP1969" i="1"/>
  <c r="AP1968" i="1"/>
  <c r="AP1967" i="1"/>
  <c r="AP1966" i="1"/>
  <c r="AP1965" i="1"/>
  <c r="AP1964" i="1"/>
  <c r="AP1963" i="1"/>
  <c r="AP1962" i="1"/>
  <c r="AP1961" i="1"/>
  <c r="AP1960" i="1"/>
  <c r="AP1959" i="1"/>
  <c r="AP1958" i="1"/>
  <c r="AP1957" i="1"/>
  <c r="AP1956" i="1"/>
  <c r="AP1955" i="1"/>
  <c r="AP1954" i="1"/>
  <c r="AP1953" i="1"/>
  <c r="AP1952" i="1"/>
  <c r="AP1951" i="1"/>
  <c r="AP1950" i="1"/>
  <c r="AP1949" i="1"/>
  <c r="AP1948" i="1"/>
  <c r="AP1947" i="1"/>
  <c r="AP1946" i="1"/>
  <c r="AP1945" i="1"/>
  <c r="AP1944" i="1"/>
  <c r="AP1943" i="1"/>
  <c r="AP1942" i="1"/>
  <c r="AP1941" i="1"/>
  <c r="AP1940" i="1"/>
  <c r="AP1939" i="1"/>
  <c r="AP1938" i="1"/>
  <c r="AP1937" i="1"/>
  <c r="AP1936" i="1"/>
  <c r="AP1935" i="1"/>
  <c r="AP1934" i="1"/>
  <c r="AP1933" i="1"/>
  <c r="AP1932" i="1"/>
  <c r="AP1931" i="1"/>
  <c r="AP1930" i="1"/>
  <c r="AP1929" i="1"/>
  <c r="AP1928" i="1"/>
  <c r="AP1927" i="1"/>
  <c r="AP1926" i="1"/>
  <c r="AP1925" i="1"/>
  <c r="AP1924" i="1"/>
  <c r="AP1923" i="1"/>
  <c r="AP1922" i="1"/>
  <c r="AP1921" i="1"/>
  <c r="AP1920" i="1"/>
  <c r="AP1919" i="1"/>
  <c r="AP1918" i="1"/>
  <c r="AP1917" i="1"/>
  <c r="AP1916" i="1"/>
  <c r="AP1915" i="1"/>
  <c r="AP1914" i="1"/>
  <c r="AP1913" i="1"/>
  <c r="AP1912" i="1"/>
  <c r="AP1911" i="1"/>
  <c r="AP1910" i="1"/>
  <c r="AP1909" i="1"/>
  <c r="AP1908" i="1"/>
  <c r="AP1907" i="1"/>
  <c r="AP1906" i="1"/>
  <c r="AP1905" i="1"/>
  <c r="AP1904" i="1"/>
  <c r="AP1903" i="1"/>
  <c r="AP1902" i="1"/>
  <c r="AP1901" i="1"/>
  <c r="AP1900" i="1"/>
  <c r="AP1899" i="1"/>
  <c r="AP1898" i="1"/>
  <c r="AP1897" i="1"/>
  <c r="AP1896" i="1"/>
  <c r="AP1895" i="1"/>
  <c r="AP1894" i="1"/>
  <c r="AP1893" i="1"/>
  <c r="AP1892" i="1"/>
  <c r="AP1891" i="1"/>
  <c r="AP1890" i="1"/>
  <c r="AP1889" i="1"/>
  <c r="AP1888" i="1"/>
  <c r="AP1887" i="1"/>
  <c r="AP1886" i="1"/>
  <c r="AP1885" i="1"/>
  <c r="AP1884" i="1"/>
  <c r="AP1883" i="1"/>
  <c r="AP1882" i="1"/>
  <c r="AP1881" i="1"/>
  <c r="AP1880" i="1"/>
  <c r="AP1879" i="1"/>
  <c r="AP1878" i="1"/>
  <c r="AP1877" i="1"/>
  <c r="AP1876" i="1"/>
  <c r="AP1875" i="1"/>
  <c r="AP1874" i="1"/>
  <c r="AP1873" i="1"/>
  <c r="AP1872" i="1"/>
  <c r="AP1871" i="1"/>
  <c r="AP1870" i="1"/>
  <c r="AP1869" i="1"/>
  <c r="AP1868" i="1"/>
  <c r="AP1867" i="1"/>
  <c r="AP1866" i="1"/>
  <c r="AP1865" i="1"/>
  <c r="AP1864" i="1"/>
  <c r="AP1863" i="1"/>
  <c r="AP1862" i="1"/>
  <c r="AP1861" i="1"/>
  <c r="AP1860" i="1"/>
  <c r="AP1859" i="1"/>
  <c r="AP1858" i="1"/>
  <c r="AP1857" i="1"/>
  <c r="AP1856" i="1"/>
  <c r="AP1855" i="1"/>
  <c r="AP1854" i="1"/>
  <c r="AP1853" i="1"/>
  <c r="AP1852" i="1"/>
  <c r="AP1851" i="1"/>
  <c r="AP1850" i="1"/>
  <c r="AP1849" i="1"/>
  <c r="AP1848" i="1"/>
  <c r="AP1847" i="1"/>
  <c r="AP1846" i="1"/>
  <c r="AP1845" i="1"/>
  <c r="AP1844" i="1"/>
  <c r="AP1843" i="1"/>
  <c r="AP1842" i="1"/>
  <c r="AP1841" i="1"/>
  <c r="AP1840" i="1"/>
  <c r="AP1839" i="1"/>
  <c r="AP1838" i="1"/>
  <c r="AP1837" i="1"/>
  <c r="AP1836" i="1"/>
  <c r="AP1835" i="1"/>
  <c r="AP1834" i="1"/>
  <c r="AP1833" i="1"/>
  <c r="AP1832" i="1"/>
  <c r="AP1831" i="1"/>
  <c r="AP1830" i="1"/>
  <c r="AP1829" i="1"/>
  <c r="AP1828" i="1"/>
  <c r="AP1827" i="1"/>
  <c r="AP1826" i="1"/>
  <c r="AP1825" i="1"/>
  <c r="AP1824" i="1"/>
  <c r="AP1823" i="1"/>
  <c r="AP1822" i="1"/>
  <c r="AP1821" i="1"/>
  <c r="AP1820" i="1"/>
  <c r="AP1819" i="1"/>
  <c r="AP1818" i="1"/>
  <c r="AP1817" i="1"/>
  <c r="AP1816" i="1"/>
  <c r="AP1815" i="1"/>
  <c r="AP1814" i="1"/>
  <c r="AP1813" i="1"/>
  <c r="AP1812" i="1"/>
  <c r="AP1811" i="1"/>
  <c r="AP1810" i="1"/>
  <c r="AP1809" i="1"/>
  <c r="AP1808" i="1"/>
  <c r="AP1807" i="1"/>
  <c r="AP1806" i="1"/>
  <c r="AP1805" i="1"/>
  <c r="AP1804" i="1"/>
  <c r="AP1803" i="1"/>
  <c r="AP1802" i="1"/>
  <c r="AP1801" i="1"/>
  <c r="AP1800" i="1"/>
  <c r="AP1799" i="1"/>
  <c r="AP1798" i="1"/>
  <c r="AP1797" i="1"/>
  <c r="AP1796" i="1"/>
  <c r="AP1795" i="1"/>
  <c r="AP1794" i="1"/>
  <c r="AP1793" i="1"/>
  <c r="AP1792" i="1"/>
  <c r="AP1791" i="1"/>
  <c r="AP1790" i="1"/>
  <c r="AP1789" i="1"/>
  <c r="AP1788" i="1"/>
  <c r="AP1787" i="1"/>
  <c r="AP1786" i="1"/>
  <c r="AP1785" i="1"/>
  <c r="AP1784" i="1"/>
  <c r="AP1783" i="1"/>
  <c r="AP1782" i="1"/>
  <c r="AP1781" i="1"/>
  <c r="AP1780" i="1"/>
  <c r="AP1779" i="1"/>
  <c r="AP1778" i="1"/>
  <c r="AP1777" i="1"/>
  <c r="AP1776" i="1"/>
  <c r="AP1775" i="1"/>
  <c r="AP1774" i="1"/>
  <c r="AP1773" i="1"/>
  <c r="AP1772" i="1"/>
  <c r="AP1771" i="1"/>
  <c r="AP1770" i="1"/>
  <c r="AP1769" i="1"/>
  <c r="AP1768" i="1"/>
  <c r="AP1767" i="1"/>
  <c r="AP1766" i="1"/>
  <c r="AP1765" i="1"/>
  <c r="AP1764" i="1"/>
  <c r="AP1763" i="1"/>
  <c r="AP1762" i="1"/>
  <c r="AP1761" i="1"/>
  <c r="AP1760" i="1"/>
  <c r="AP1759" i="1"/>
  <c r="AP1758" i="1"/>
  <c r="AP1757" i="1"/>
  <c r="AP1756" i="1"/>
  <c r="AP1755" i="1"/>
  <c r="AP1754" i="1"/>
  <c r="AP1753" i="1"/>
  <c r="AP1752" i="1"/>
  <c r="AP1751" i="1"/>
  <c r="AP1750" i="1"/>
  <c r="AP1749" i="1"/>
  <c r="AP1748" i="1"/>
  <c r="AP1747" i="1"/>
  <c r="AP1746" i="1"/>
  <c r="AP1745" i="1"/>
  <c r="AP1744" i="1"/>
  <c r="AP1743" i="1"/>
  <c r="AP1742" i="1"/>
  <c r="AP1741" i="1"/>
  <c r="AP1740" i="1"/>
  <c r="AP1739" i="1"/>
  <c r="AP1738" i="1"/>
  <c r="AP1737" i="1"/>
  <c r="AP1736" i="1"/>
  <c r="AP1735" i="1"/>
  <c r="AP1734" i="1"/>
  <c r="AP1733" i="1"/>
  <c r="AP1732" i="1"/>
  <c r="AP1731" i="1"/>
  <c r="AP1730" i="1"/>
  <c r="AP1729" i="1"/>
  <c r="AP1728" i="1"/>
  <c r="AP1727" i="1"/>
  <c r="AP1726" i="1"/>
  <c r="AP1725" i="1"/>
  <c r="AP1724" i="1"/>
  <c r="AP1723" i="1"/>
  <c r="AP1722" i="1"/>
  <c r="AP1721" i="1"/>
  <c r="AP1720" i="1"/>
  <c r="AP1719" i="1"/>
  <c r="AP1718" i="1"/>
  <c r="AP1717" i="1"/>
  <c r="AP1716" i="1"/>
  <c r="AP1715" i="1"/>
  <c r="AP1714" i="1"/>
  <c r="AP1713" i="1"/>
  <c r="AP1712" i="1"/>
  <c r="AP1711" i="1"/>
  <c r="AP1710" i="1"/>
  <c r="AP1709" i="1"/>
  <c r="AP1708" i="1"/>
  <c r="AP1707" i="1"/>
  <c r="AP1706" i="1"/>
  <c r="AP1705" i="1"/>
  <c r="AP1704" i="1"/>
  <c r="AP1703" i="1"/>
  <c r="AP1702" i="1"/>
  <c r="AP1701" i="1"/>
  <c r="AP1700" i="1"/>
  <c r="AP1699" i="1"/>
  <c r="AP1698" i="1"/>
  <c r="AP1697" i="1"/>
  <c r="AP1696" i="1"/>
  <c r="AP1695" i="1"/>
  <c r="AP1694" i="1"/>
  <c r="AP1693" i="1"/>
  <c r="AP1692" i="1"/>
  <c r="AP1691" i="1"/>
  <c r="AP1690" i="1"/>
  <c r="AP1689" i="1"/>
  <c r="AP1688" i="1"/>
  <c r="AP1687" i="1"/>
  <c r="AP1686" i="1"/>
  <c r="AP1685" i="1"/>
  <c r="AP1684" i="1"/>
  <c r="AP1683" i="1"/>
  <c r="AP1682" i="1"/>
  <c r="AP1681" i="1"/>
  <c r="AP1680" i="1"/>
  <c r="AP1679" i="1"/>
  <c r="AP1678" i="1"/>
  <c r="AP1677" i="1"/>
  <c r="AP1676" i="1"/>
  <c r="AP1675" i="1"/>
  <c r="AP1674" i="1"/>
  <c r="AP1673" i="1"/>
  <c r="AP1672" i="1"/>
  <c r="AP1671" i="1"/>
  <c r="AP1670" i="1"/>
  <c r="AP1669" i="1"/>
  <c r="AP1668" i="1"/>
  <c r="AP1667" i="1"/>
  <c r="AP1666" i="1"/>
  <c r="AP1665" i="1"/>
  <c r="AP1664" i="1"/>
  <c r="AP1663" i="1"/>
  <c r="AP1662" i="1"/>
  <c r="AP1661" i="1"/>
  <c r="AP1660" i="1"/>
  <c r="AP1659" i="1"/>
  <c r="AP1658" i="1"/>
  <c r="AP1657" i="1"/>
  <c r="AP1656" i="1"/>
  <c r="AP1655" i="1"/>
  <c r="AP1654" i="1"/>
  <c r="AP1653" i="1"/>
  <c r="AP1652" i="1"/>
  <c r="AP1651" i="1"/>
  <c r="AP1650" i="1"/>
  <c r="AP1649" i="1"/>
  <c r="AP1648" i="1"/>
  <c r="AP1647" i="1"/>
  <c r="AP1646" i="1"/>
  <c r="AP1645" i="1"/>
  <c r="AP1644" i="1"/>
  <c r="AP1643" i="1"/>
  <c r="AP1642" i="1"/>
  <c r="AP1641" i="1"/>
  <c r="AP1640" i="1"/>
  <c r="AP1639" i="1"/>
  <c r="AP1638" i="1"/>
  <c r="AP1637" i="1"/>
  <c r="AP1636" i="1"/>
  <c r="AP1635" i="1"/>
  <c r="AP1634" i="1"/>
  <c r="AP1633" i="1"/>
  <c r="AP1632" i="1"/>
  <c r="AP1631" i="1"/>
  <c r="AP1630" i="1"/>
  <c r="AP1629" i="1"/>
  <c r="AP1628" i="1"/>
  <c r="AP1627" i="1"/>
  <c r="AP1626" i="1"/>
  <c r="AP1625" i="1"/>
  <c r="AP1624" i="1"/>
  <c r="AP1623" i="1"/>
  <c r="AP1622" i="1"/>
  <c r="AP1621" i="1"/>
  <c r="AP1620" i="1"/>
  <c r="AP1619" i="1"/>
  <c r="AP1618" i="1"/>
  <c r="AP1617" i="1"/>
  <c r="AP1616" i="1"/>
  <c r="AP1615" i="1"/>
  <c r="AP1614" i="1"/>
  <c r="AP1613" i="1"/>
  <c r="AP1612" i="1"/>
  <c r="AP1611" i="1"/>
  <c r="AP1610" i="1"/>
  <c r="AP1609" i="1"/>
  <c r="AP1608" i="1"/>
  <c r="AP1607" i="1"/>
  <c r="AP1606" i="1"/>
  <c r="AP1605" i="1"/>
  <c r="AP1604" i="1"/>
  <c r="AP1603" i="1"/>
  <c r="AP1602" i="1"/>
  <c r="AP1601" i="1"/>
  <c r="AP1600" i="1"/>
  <c r="AP1599" i="1"/>
  <c r="AP1598" i="1"/>
  <c r="AP1597" i="1"/>
  <c r="AP1596" i="1"/>
  <c r="AP1595" i="1"/>
  <c r="AP1594" i="1"/>
  <c r="AP1593" i="1"/>
  <c r="AP1592" i="1"/>
  <c r="AP1591" i="1"/>
  <c r="AP1590" i="1"/>
  <c r="AP1589" i="1"/>
  <c r="AP1588" i="1"/>
  <c r="AP1587" i="1"/>
  <c r="AP1586" i="1"/>
  <c r="AP1585" i="1"/>
  <c r="AP1584" i="1"/>
  <c r="AP1583" i="1"/>
  <c r="AP1582" i="1"/>
  <c r="AP1581" i="1"/>
  <c r="AP1580" i="1"/>
  <c r="AP1579" i="1"/>
  <c r="AP1578" i="1"/>
  <c r="AP1577" i="1"/>
  <c r="AP1576" i="1"/>
  <c r="AP1575" i="1"/>
  <c r="AP1574" i="1"/>
  <c r="AP1573" i="1"/>
  <c r="AP1572" i="1"/>
  <c r="AP1571" i="1"/>
  <c r="AP1570" i="1"/>
  <c r="AP1569" i="1"/>
  <c r="AP1568" i="1"/>
  <c r="AP1567" i="1"/>
  <c r="AP1566" i="1"/>
  <c r="AP1565" i="1"/>
  <c r="AP1564" i="1"/>
  <c r="AP1563" i="1"/>
  <c r="AP1562" i="1"/>
  <c r="AP1561" i="1"/>
  <c r="AP1560" i="1"/>
  <c r="AP1559" i="1"/>
  <c r="AP1558" i="1"/>
  <c r="AP1557" i="1"/>
  <c r="AP1556" i="1"/>
  <c r="AP1555" i="1"/>
  <c r="AP1554" i="1"/>
  <c r="AP1553" i="1"/>
  <c r="AP1552" i="1"/>
  <c r="AP1551" i="1"/>
  <c r="AP1550" i="1"/>
  <c r="AP1549" i="1"/>
  <c r="AP1548" i="1"/>
  <c r="AP1547" i="1"/>
  <c r="AP1546" i="1"/>
  <c r="AP1545" i="1"/>
  <c r="AP1544" i="1"/>
  <c r="AP1543" i="1"/>
  <c r="AP1542" i="1"/>
  <c r="AP1541" i="1"/>
  <c r="AP1540" i="1"/>
  <c r="AP1539" i="1"/>
  <c r="AP1538" i="1"/>
  <c r="AP1537" i="1"/>
  <c r="AP1536" i="1"/>
  <c r="AP1535" i="1"/>
  <c r="AP1534" i="1"/>
  <c r="AP1533" i="1"/>
  <c r="AP1532" i="1"/>
  <c r="AP1531" i="1"/>
  <c r="AP1530" i="1"/>
  <c r="AP1529" i="1"/>
  <c r="AP1528" i="1"/>
  <c r="AP1527" i="1"/>
  <c r="AP1526" i="1"/>
  <c r="AP1525" i="1"/>
  <c r="AP1524" i="1"/>
  <c r="AP1523" i="1"/>
  <c r="AP1522" i="1"/>
  <c r="AP1521" i="1"/>
  <c r="AP1520" i="1"/>
  <c r="AP1519" i="1"/>
  <c r="AP1518" i="1"/>
  <c r="AP1517" i="1"/>
  <c r="AP1516" i="1"/>
  <c r="AP1515" i="1"/>
  <c r="AP1514" i="1"/>
  <c r="AP1513" i="1"/>
  <c r="AP1512" i="1"/>
  <c r="AP1511" i="1"/>
  <c r="AP1510" i="1"/>
  <c r="AP1509" i="1"/>
  <c r="AP1508" i="1"/>
  <c r="AP1507" i="1"/>
  <c r="AP1506" i="1"/>
  <c r="AP1505" i="1"/>
  <c r="AP1504" i="1"/>
  <c r="AP1503" i="1"/>
  <c r="AP1502" i="1"/>
  <c r="AP1501" i="1"/>
  <c r="AP1500" i="1"/>
  <c r="AP1499" i="1"/>
  <c r="AP1498" i="1"/>
  <c r="AP1497" i="1"/>
  <c r="AP1496" i="1"/>
  <c r="AP1495" i="1"/>
  <c r="AP1494" i="1"/>
  <c r="AP1493" i="1"/>
  <c r="AP1492" i="1"/>
  <c r="AP1491" i="1"/>
  <c r="AP1490" i="1"/>
  <c r="AP1489" i="1"/>
  <c r="AP1488" i="1"/>
  <c r="AP1487" i="1"/>
  <c r="AP1486" i="1"/>
  <c r="AP1485" i="1"/>
  <c r="AP1484" i="1"/>
  <c r="AP1483" i="1"/>
  <c r="AP1482" i="1"/>
  <c r="AP1481" i="1"/>
  <c r="AP1480" i="1"/>
  <c r="AP1479" i="1"/>
  <c r="AP1478" i="1"/>
  <c r="AP1477" i="1"/>
  <c r="AP1476" i="1"/>
  <c r="AP1475" i="1"/>
  <c r="AP1474" i="1"/>
  <c r="AP1473" i="1"/>
  <c r="AP1472" i="1"/>
  <c r="AP1471" i="1"/>
  <c r="AP1470" i="1"/>
  <c r="AP1469" i="1"/>
  <c r="AP1468" i="1"/>
  <c r="AP1467" i="1"/>
  <c r="AP1466" i="1"/>
  <c r="AP1465" i="1"/>
  <c r="AP1464" i="1"/>
  <c r="AP1463" i="1"/>
  <c r="AP1462" i="1"/>
  <c r="AP1461" i="1"/>
  <c r="AP1460" i="1"/>
  <c r="AP1459" i="1"/>
  <c r="AP1458" i="1"/>
  <c r="AP1457" i="1"/>
  <c r="AP1456" i="1"/>
  <c r="AP1455" i="1"/>
  <c r="AP1454" i="1"/>
  <c r="AP1453" i="1"/>
  <c r="AP1452" i="1"/>
  <c r="AP1451" i="1"/>
  <c r="AP1450" i="1"/>
  <c r="AP1449" i="1"/>
  <c r="AP1448" i="1"/>
  <c r="AP1447" i="1"/>
  <c r="AP1446" i="1"/>
  <c r="AP1445" i="1"/>
  <c r="AP1444" i="1"/>
  <c r="AP1443" i="1"/>
  <c r="AP1442" i="1"/>
  <c r="AP1441" i="1"/>
  <c r="AP1440" i="1"/>
  <c r="AP1439" i="1"/>
  <c r="AP1438" i="1"/>
  <c r="AP1437" i="1"/>
  <c r="AP1436" i="1"/>
  <c r="AP1435" i="1"/>
  <c r="AP1434" i="1"/>
  <c r="AP1433" i="1"/>
  <c r="AP1432" i="1"/>
  <c r="AP1431" i="1"/>
  <c r="AP1430" i="1"/>
  <c r="AP1429" i="1"/>
  <c r="AP1428" i="1"/>
  <c r="AP1427" i="1"/>
  <c r="AP1426" i="1"/>
  <c r="AP1425" i="1"/>
  <c r="AP1424" i="1"/>
  <c r="AP1423" i="1"/>
  <c r="AP1422" i="1"/>
  <c r="AP1421" i="1"/>
  <c r="AP1420" i="1"/>
  <c r="AP1419" i="1"/>
  <c r="AP1418" i="1"/>
  <c r="AP1417" i="1"/>
  <c r="AP1416" i="1"/>
  <c r="AP1415" i="1"/>
  <c r="AP1414" i="1"/>
  <c r="AP1413" i="1"/>
  <c r="AP1412" i="1"/>
  <c r="AP1411" i="1"/>
  <c r="AP1410" i="1"/>
  <c r="AP1409" i="1"/>
  <c r="AP1408" i="1"/>
  <c r="AP1407" i="1"/>
  <c r="AP1406" i="1"/>
  <c r="AP1405" i="1"/>
  <c r="AP1404" i="1"/>
  <c r="AP1403" i="1"/>
  <c r="AP1402" i="1"/>
  <c r="AP1401" i="1"/>
  <c r="AP1400" i="1"/>
  <c r="AP1399" i="1"/>
  <c r="AP1398" i="1"/>
  <c r="AP1397" i="1"/>
  <c r="AP1396" i="1"/>
  <c r="AP1395" i="1"/>
  <c r="AP1394" i="1"/>
  <c r="AP1393" i="1"/>
  <c r="AP1392" i="1"/>
  <c r="AP1391" i="1"/>
  <c r="AP1390" i="1"/>
  <c r="AP1389" i="1"/>
  <c r="AP1388" i="1"/>
  <c r="AP1387" i="1"/>
  <c r="AP1386" i="1"/>
  <c r="AP1385" i="1"/>
  <c r="AP1384" i="1"/>
  <c r="AP1383" i="1"/>
  <c r="AP1382" i="1"/>
  <c r="AP1381" i="1"/>
  <c r="AP1380" i="1"/>
  <c r="AP1379" i="1"/>
  <c r="AP1378" i="1"/>
  <c r="AP1377" i="1"/>
  <c r="AP1376" i="1"/>
  <c r="AP1375" i="1"/>
  <c r="AP1374" i="1"/>
  <c r="AP1373" i="1"/>
  <c r="AP1372" i="1"/>
  <c r="AP1371" i="1"/>
  <c r="AP1370" i="1"/>
  <c r="AP1369" i="1"/>
  <c r="AP1368" i="1"/>
  <c r="AP1367" i="1"/>
  <c r="AP1366" i="1"/>
  <c r="AP1365" i="1"/>
  <c r="AP1364" i="1"/>
  <c r="AP1363" i="1"/>
  <c r="AP1362" i="1"/>
  <c r="AP1361" i="1"/>
  <c r="AP1360" i="1"/>
  <c r="AP1359" i="1"/>
  <c r="AP1358" i="1"/>
  <c r="AP1357" i="1"/>
  <c r="AP1356" i="1"/>
  <c r="AP1355" i="1"/>
  <c r="AP1354" i="1"/>
  <c r="AP1353" i="1"/>
  <c r="AP1352" i="1"/>
  <c r="AP1351" i="1"/>
  <c r="AP1350" i="1"/>
  <c r="AP1349" i="1"/>
  <c r="AP1348" i="1"/>
  <c r="AP1347" i="1"/>
  <c r="AP1346" i="1"/>
  <c r="AP1345" i="1"/>
  <c r="AP1344" i="1"/>
  <c r="AP1343" i="1"/>
  <c r="AP1342" i="1"/>
  <c r="AP1341" i="1"/>
  <c r="AP1340" i="1"/>
  <c r="AP1339" i="1"/>
  <c r="AP1338" i="1"/>
  <c r="AP1337" i="1"/>
  <c r="AP1336" i="1"/>
  <c r="AP1335" i="1"/>
  <c r="AP1334" i="1"/>
  <c r="AP1333" i="1"/>
  <c r="AP1332" i="1"/>
  <c r="AP1331" i="1"/>
  <c r="AP1330" i="1"/>
  <c r="AP1329" i="1"/>
  <c r="AP1328" i="1"/>
  <c r="AP1327" i="1"/>
  <c r="AP1326" i="1"/>
  <c r="AP1325" i="1"/>
  <c r="AP1324" i="1"/>
  <c r="AP1323" i="1"/>
  <c r="AP1322" i="1"/>
  <c r="AP1321" i="1"/>
  <c r="AP1320" i="1"/>
  <c r="AP1319" i="1"/>
  <c r="AP1318" i="1"/>
  <c r="AP1317" i="1"/>
  <c r="AP1316" i="1"/>
  <c r="AP1315" i="1"/>
  <c r="AP1314" i="1"/>
  <c r="AP1313" i="1"/>
  <c r="AP1312" i="1"/>
  <c r="AP1311" i="1"/>
  <c r="AP1310" i="1"/>
  <c r="AP1309" i="1"/>
  <c r="AP1308" i="1"/>
  <c r="AP1307" i="1"/>
  <c r="AP1306" i="1"/>
  <c r="AP1305" i="1"/>
  <c r="AP1304" i="1"/>
  <c r="AP1303" i="1"/>
  <c r="AP1302" i="1"/>
  <c r="AP1301" i="1"/>
  <c r="AP1300" i="1"/>
  <c r="AP1299" i="1"/>
  <c r="AP1298" i="1"/>
  <c r="AP1297" i="1"/>
  <c r="AP1296" i="1"/>
  <c r="AP1295" i="1"/>
  <c r="AP1294" i="1"/>
  <c r="AP1293" i="1"/>
  <c r="AP1292" i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P1239" i="1"/>
  <c r="AP1238" i="1"/>
  <c r="AP1237" i="1"/>
  <c r="AP1236" i="1"/>
  <c r="AP1235" i="1"/>
  <c r="AP1234" i="1"/>
  <c r="AP1233" i="1"/>
  <c r="AP1232" i="1"/>
  <c r="AP1231" i="1"/>
  <c r="AP1230" i="1"/>
  <c r="AP1229" i="1"/>
  <c r="AP1228" i="1"/>
  <c r="AP1227" i="1"/>
  <c r="AP1226" i="1"/>
  <c r="AP1225" i="1"/>
  <c r="AP1224" i="1"/>
  <c r="AP1223" i="1"/>
  <c r="AP1222" i="1"/>
  <c r="AP1221" i="1"/>
  <c r="AP1220" i="1"/>
  <c r="AP1219" i="1"/>
  <c r="AP1218" i="1"/>
  <c r="AP1217" i="1"/>
  <c r="AP1216" i="1"/>
  <c r="AP1215" i="1"/>
  <c r="AP1214" i="1"/>
  <c r="AP1213" i="1"/>
  <c r="AP1212" i="1"/>
  <c r="AP1211" i="1"/>
  <c r="AP1210" i="1"/>
  <c r="AP1209" i="1"/>
  <c r="AP1208" i="1"/>
  <c r="AP1207" i="1"/>
  <c r="AP1206" i="1"/>
  <c r="AP1205" i="1"/>
  <c r="AP1204" i="1"/>
  <c r="AP1203" i="1"/>
  <c r="AP1202" i="1"/>
  <c r="AP1201" i="1"/>
  <c r="AP1200" i="1"/>
  <c r="AP1199" i="1"/>
  <c r="AP1198" i="1"/>
  <c r="AP1197" i="1"/>
  <c r="AP1196" i="1"/>
  <c r="AP1195" i="1"/>
  <c r="AP1194" i="1"/>
  <c r="AP1193" i="1"/>
  <c r="AP1192" i="1"/>
  <c r="AP1191" i="1"/>
  <c r="AP1190" i="1"/>
  <c r="AP1189" i="1"/>
  <c r="AP1188" i="1"/>
  <c r="AP1187" i="1"/>
  <c r="AP1186" i="1"/>
  <c r="AP1185" i="1"/>
  <c r="AP1184" i="1"/>
  <c r="AP1183" i="1"/>
  <c r="AP1182" i="1"/>
  <c r="AP1181" i="1"/>
  <c r="AP1180" i="1"/>
  <c r="AP1179" i="1"/>
  <c r="AP1178" i="1"/>
  <c r="AP1177" i="1"/>
  <c r="AP1176" i="1"/>
  <c r="AP1175" i="1"/>
  <c r="AP1174" i="1"/>
  <c r="AP1173" i="1"/>
  <c r="AP1172" i="1"/>
  <c r="AP1171" i="1"/>
  <c r="AP1170" i="1"/>
  <c r="AP1169" i="1"/>
  <c r="AP1168" i="1"/>
  <c r="AP1167" i="1"/>
  <c r="AP1166" i="1"/>
  <c r="AP1165" i="1"/>
  <c r="AP1164" i="1"/>
  <c r="AP1163" i="1"/>
  <c r="AP1162" i="1"/>
  <c r="AP1161" i="1"/>
  <c r="AP1160" i="1"/>
  <c r="AP1159" i="1"/>
  <c r="AP1158" i="1"/>
  <c r="AP1157" i="1"/>
  <c r="AP1156" i="1"/>
  <c r="AP1155" i="1"/>
  <c r="AP1154" i="1"/>
  <c r="AP1153" i="1"/>
  <c r="AP1152" i="1"/>
  <c r="AP1151" i="1"/>
  <c r="AP1150" i="1"/>
  <c r="AP1149" i="1"/>
  <c r="AP1148" i="1"/>
  <c r="AP1147" i="1"/>
  <c r="AP1146" i="1"/>
  <c r="AP1145" i="1"/>
  <c r="AP1144" i="1"/>
  <c r="AP1143" i="1"/>
  <c r="AP1142" i="1"/>
  <c r="AP1141" i="1"/>
  <c r="AP1140" i="1"/>
  <c r="AP1139" i="1"/>
  <c r="AP1138" i="1"/>
  <c r="AP1137" i="1"/>
  <c r="AP1136" i="1"/>
  <c r="AP1135" i="1"/>
  <c r="AP1134" i="1"/>
  <c r="AP1133" i="1"/>
  <c r="AP1132" i="1"/>
  <c r="AP1131" i="1"/>
  <c r="AP1130" i="1"/>
  <c r="AP1129" i="1"/>
  <c r="AP1128" i="1"/>
  <c r="AP1127" i="1"/>
  <c r="AP1126" i="1"/>
  <c r="AP1125" i="1"/>
  <c r="AP1124" i="1"/>
  <c r="AP1123" i="1"/>
  <c r="AP1122" i="1"/>
  <c r="AP1121" i="1"/>
  <c r="AP1120" i="1"/>
  <c r="AP1119" i="1"/>
  <c r="AP1118" i="1"/>
  <c r="AP1117" i="1"/>
  <c r="AP1116" i="1"/>
  <c r="AP1115" i="1"/>
  <c r="AP1114" i="1"/>
  <c r="AP1113" i="1"/>
  <c r="AP1112" i="1"/>
  <c r="AP1111" i="1"/>
  <c r="AP1110" i="1"/>
  <c r="AP1109" i="1"/>
  <c r="AP1108" i="1"/>
  <c r="AP1107" i="1"/>
  <c r="AP1106" i="1"/>
  <c r="AP1105" i="1"/>
  <c r="AP1104" i="1"/>
  <c r="AP1103" i="1"/>
  <c r="AP1102" i="1"/>
  <c r="AP1101" i="1"/>
  <c r="AP1100" i="1"/>
  <c r="AP1099" i="1"/>
  <c r="AP1098" i="1"/>
  <c r="AP1097" i="1"/>
  <c r="AP1096" i="1"/>
  <c r="AP1095" i="1"/>
  <c r="AP1094" i="1"/>
  <c r="AP1093" i="1"/>
  <c r="AP1092" i="1"/>
  <c r="AP1091" i="1"/>
  <c r="AP1090" i="1"/>
  <c r="AP1089" i="1"/>
  <c r="AP1088" i="1"/>
  <c r="A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P1074" i="1"/>
  <c r="AP1073" i="1"/>
  <c r="AP1072" i="1"/>
  <c r="AP1071" i="1"/>
  <c r="AP1070" i="1"/>
  <c r="AP1069" i="1"/>
  <c r="AP1068" i="1"/>
  <c r="AP1067" i="1"/>
  <c r="AP1066" i="1"/>
  <c r="AP1065" i="1"/>
  <c r="AP1064" i="1"/>
  <c r="AP1063" i="1"/>
  <c r="AP1062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T4" i="1"/>
  <c r="AT3" i="1"/>
  <c r="AT5" i="1" l="1"/>
  <c r="AT6" i="1" l="1"/>
  <c r="AT7" i="1"/>
</calcChain>
</file>

<file path=xl/sharedStrings.xml><?xml version="1.0" encoding="utf-8"?>
<sst xmlns="http://schemas.openxmlformats.org/spreadsheetml/2006/main" count="47" uniqueCount="47">
  <si>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</si>
  <si>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</si>
  <si>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</si>
  <si>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</si>
  <si>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</si>
  <si>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</si>
  <si>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</si>
  <si>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</si>
  <si>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</si>
  <si>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</si>
  <si>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</si>
  <si>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</si>
  <si>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</si>
  <si>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</si>
  <si>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</si>
  <si>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</si>
  <si>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</si>
  <si>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</si>
  <si>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</si>
  <si>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</si>
  <si>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</si>
  <si>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</si>
  <si>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</si>
  <si>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</si>
  <si>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</si>
  <si>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</si>
  <si>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</si>
  <si>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</si>
  <si>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</si>
  <si>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</si>
  <si>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</si>
  <si>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</si>
  <si>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</si>
  <si>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</si>
  <si>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</si>
  <si>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</si>
  <si>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</si>
  <si>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MNT_TOTAL</t>
  </si>
  <si>
    <t>IN_RELATION</t>
  </si>
  <si>
    <t>INCOME_GROUP</t>
  </si>
  <si>
    <t>SPENDING_GROUP</t>
  </si>
  <si>
    <t>CUSTOMER_SEGMENT</t>
  </si>
  <si>
    <t>Q1</t>
  </si>
  <si>
    <t>Q3</t>
  </si>
  <si>
    <t>IQR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</si>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</sst>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DAA09-0F1B-49E5-87EA-8DAC1E20BE38}" name="Table1" displayName="Table1" ref="A1:AP2206" totalsRowShown="0">
  <autoFilter ref="A1:AP2206" xr:uid="{2A6DAA09-0F1B-49E5-87EA-8DAC1E20BE38}"/>
  <tableColumns count="42">
    <tableColumn id="1" xr3:uid="{554F6E22-E951-498E-9131-E940D5C60657}" name="Income"/>
    <tableColumn id="2" xr3:uid="{0127FE8F-DC4C-406B-91FE-8855DE06AF91}" name="Kidhome"/>
    <tableColumn id="3" xr3:uid="{F75F21AA-1394-48E6-A1D7-355111D9EAA8}" name="Teenhome"/>
    <tableColumn id="4" xr3:uid="{FFC94A34-12C6-44C8-AB8F-68947717C120}" name="Recency"/>
    <tableColumn id="5" xr3:uid="{BC795492-5B7F-4FFD-968C-B6B3C9BE28D8}" name="MntWines"/>
    <tableColumn id="6" xr3:uid="{2E0D1A3E-F822-4E85-B3F1-86AFDA2E8D6E}" name="MntFruits"/>
    <tableColumn id="7" xr3:uid="{EF994454-4542-4EE0-89F3-7F0C62942441}" name="MntMeatProducts"/>
    <tableColumn id="8" xr3:uid="{CC71AB88-AE59-42CB-963F-23C164BA62C3}" name="MntFishProducts"/>
    <tableColumn id="9" xr3:uid="{07ADB221-9D15-4551-B56C-F9ADDFB3C114}" name="MntSweetProducts"/>
    <tableColumn id="10" xr3:uid="{33E07E13-F181-42BE-A27E-8516349C9FA1}" name="MntGoldProds"/>
    <tableColumn id="11" xr3:uid="{6E345760-5C11-46D4-B5A1-048B9FE201CD}" name="NumDealsPurchases"/>
    <tableColumn id="12" xr3:uid="{0BDCA2DD-1914-4034-936D-B35307683E86}" name="NumWebPurchases"/>
    <tableColumn id="13" xr3:uid="{65822FB1-2A74-4648-A7A6-C9D5F31F3B70}" name="NumCatalogPurchases"/>
    <tableColumn id="14" xr3:uid="{FB15FDE0-B33E-47C0-A041-4D5F4DD9CC78}" name="NumStorePurchases"/>
    <tableColumn id="15" xr3:uid="{788F6370-03DD-4152-BA96-ECEA3DF04AD5}" name="NumWebVisitsMonth"/>
    <tableColumn id="16" xr3:uid="{D7CA115B-81FA-4C80-9805-18BBA8C0FD01}" name="AcceptedCmp3"/>
    <tableColumn id="17" xr3:uid="{B86D8510-3B4B-481A-B32A-DB0407B39481}" name="AcceptedCmp4"/>
    <tableColumn id="18" xr3:uid="{38B20EA4-6BCC-496C-81C1-D27BC519F33B}" name="AcceptedCmp5"/>
    <tableColumn id="19" xr3:uid="{759A2A33-2753-4D16-971B-8B85B7E77D1B}" name="AcceptedCmp1"/>
    <tableColumn id="20" xr3:uid="{85FBE699-702B-477D-A1EE-2243FC6AB390}" name="AcceptedCmp2"/>
    <tableColumn id="21" xr3:uid="{4F2422F9-F3DB-4CBA-8DC1-6FE09A16C2B3}" name="Complain"/>
    <tableColumn id="22" xr3:uid="{7C15CD77-1670-471B-A788-E3640C9B48C0}" name="Response"/>
    <tableColumn id="23" xr3:uid="{47E0B7CD-C124-47CE-994A-9355FD9CF098}" name="Age"/>
    <tableColumn id="24" xr3:uid="{0963C896-CBDF-4BA2-BC0D-C311F2C11D3D}" name="Customer_Days"/>
    <tableColumn id="25" xr3:uid="{255AF468-6DD2-4D88-AF84-8482FCBFD7EF}" name="marital_Divorced"/>
    <tableColumn id="26" xr3:uid="{8096F39E-E8D8-4FBF-937C-34AC87CCDF6E}" name="marital_Married"/>
    <tableColumn id="27" xr3:uid="{E88E19D8-63B6-4F3F-AE90-9A8D6F96AAA2}" name="marital_Single"/>
    <tableColumn id="28" xr3:uid="{AD38C78D-3DFE-47A1-8097-285C5E3583EB}" name="marital_Together"/>
    <tableColumn id="29" xr3:uid="{EC344878-BC08-4FA5-8A3A-2072C788A6F8}" name="marital_Widow"/>
    <tableColumn id="30" xr3:uid="{C87CF039-C43B-425E-8DFE-012DF5F1C932}" name="education_2n Cycle"/>
    <tableColumn id="31" xr3:uid="{1D821F75-4A69-493D-B516-EBEDC5C451EF}" name="education_Basic"/>
    <tableColumn id="32" xr3:uid="{2D48352E-E238-4D54-8126-41068826FCF6}" name="education_Graduation"/>
    <tableColumn id="33" xr3:uid="{3008B8B1-61CD-41ED-AE0F-A9BC62129C04}" name="education_Master"/>
    <tableColumn id="34" xr3:uid="{9D868F2D-5D98-4033-8233-02164435BEF6}" name="education_PhD"/>
    <tableColumn id="35" xr3:uid="{EC1E3930-CB45-4AC2-A86C-7D5B928D0B58}" name="MntTotal"/>
    <tableColumn id="36" xr3:uid="{877E3410-A213-496F-9E8B-84BA241D7065}" name="MntRegularProds"/>
    <tableColumn id="37" xr3:uid="{6E6AC729-4802-490F-B79B-F8F9F29771FB}" name="AcceptedCmpOverall"/>
    <tableColumn id="38" xr3:uid="{1AF141D4-B381-4562-BD34-4B0CD106F9FA}" name="MNT_TOTAL" dataDxfId="4">
      <calculatedColumnFormula>SUM(E2:J2)</calculatedColumnFormula>
    </tableColumn>
    <tableColumn id="39" xr3:uid="{CB55B5BD-4AE4-4689-A2E0-5EAA8CAB0D78}" name="IN_RELATION" dataDxfId="3">
      <calculatedColumnFormula>IF(OR(Table1[[#This Row],[marital_Married]]=1,Table1[[#This Row],[marital_Together]]=1),1,0)</calculatedColumnFormula>
    </tableColumn>
    <tableColumn id="40" xr3:uid="{C4192E38-E41E-4C00-8400-E5304A9BF879}" name="INCOME_GROUP" dataDxfId="2">
      <calculatedColumnFormula>IF(Table1[[#This Row],[Income]]&gt;=70000,"HIGH INCOME","LOW INCOME")</calculatedColumnFormula>
    </tableColumn>
    <tableColumn id="41" xr3:uid="{701DF031-8AE4-46C3-947F-F8C6FB360D33}" name="SPENDING_GROUP" dataDxfId="1">
      <calculatedColumnFormula>IF(Table1[[#This Row],[MNT_TOTAL]]&gt;=900,"HIGH VALUE","LOW VALUE")</calculatedColumnFormula>
    </tableColumn>
    <tableColumn id="42" xr3:uid="{269A6242-8CD1-4521-BF74-C88AC9F5E60B}" name="CUSTOMER_SEGMENT" dataDxfId="0">
      <calculatedColumnFormula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1C7B-26B7-4939-9B0A-D7B4AE8BA84D}">
  <dimension ref="A1:AT2206"/>
  <sheetViews>
    <sheetView tabSelected="1" topLeftCell="AF1" workbookViewId="0">
      <selection activeCell="AP3" sqref="AP3"/>
    </sheetView>
  </sheetViews>
  <sheetFormatPr defaultRowHeight="15"/>
  <cols>
    <col min="1" max="1" width="9.7109375" bestFit="1" customWidth="1"/>
    <col min="2" max="2" width="11.140625" bestFit="1" customWidth="1"/>
    <col min="3" max="3" width="12.5703125" bestFit="1" customWidth="1"/>
    <col min="4" max="4" width="10.42578125" bestFit="1" customWidth="1"/>
    <col min="5" max="5" width="12.42578125" bestFit="1" customWidth="1"/>
    <col min="6" max="6" width="11.85546875" bestFit="1" customWidth="1"/>
    <col min="7" max="7" width="19.5703125" bestFit="1" customWidth="1"/>
    <col min="8" max="8" width="18.28515625" bestFit="1" customWidth="1"/>
    <col min="9" max="9" width="20.28515625" bestFit="1" customWidth="1"/>
    <col min="10" max="10" width="16.140625" bestFit="1" customWidth="1"/>
    <col min="11" max="11" width="21.28515625" bestFit="1" customWidth="1"/>
    <col min="12" max="12" width="20.5703125" bestFit="1" customWidth="1"/>
    <col min="13" max="13" width="23.140625" bestFit="1" customWidth="1"/>
    <col min="14" max="14" width="21.140625" bestFit="1" customWidth="1"/>
    <col min="15" max="15" width="22.42578125" bestFit="1" customWidth="1"/>
    <col min="16" max="20" width="16.5703125" bestFit="1" customWidth="1"/>
    <col min="21" max="21" width="11.5703125" bestFit="1" customWidth="1"/>
    <col min="22" max="22" width="11.7109375" bestFit="1" customWidth="1"/>
    <col min="23" max="23" width="6.5703125" bestFit="1" customWidth="1"/>
    <col min="24" max="24" width="17.140625" bestFit="1" customWidth="1"/>
    <col min="25" max="25" width="18.5703125" bestFit="1" customWidth="1"/>
    <col min="26" max="26" width="17.85546875" bestFit="1" customWidth="1"/>
    <col min="27" max="27" width="16" bestFit="1" customWidth="1"/>
    <col min="28" max="28" width="18.7109375" bestFit="1" customWidth="1"/>
    <col min="29" max="29" width="17" bestFit="1" customWidth="1"/>
    <col min="30" max="30" width="20.42578125" bestFit="1" customWidth="1"/>
    <col min="31" max="31" width="17.7109375" bestFit="1" customWidth="1"/>
    <col min="32" max="32" width="23.28515625" bestFit="1" customWidth="1"/>
    <col min="33" max="33" width="19.42578125" bestFit="1" customWidth="1"/>
    <col min="34" max="34" width="16.7109375" bestFit="1" customWidth="1"/>
    <col min="35" max="35" width="11.42578125" bestFit="1" customWidth="1"/>
    <col min="36" max="36" width="18.7109375" bestFit="1" customWidth="1"/>
    <col min="37" max="37" width="21.85546875" bestFit="1" customWidth="1"/>
    <col min="38" max="38" width="14.28515625" bestFit="1" customWidth="1"/>
    <col min="39" max="39" width="15.140625" bestFit="1" customWidth="1"/>
    <col min="40" max="40" width="18.28515625" bestFit="1" customWidth="1"/>
    <col min="41" max="41" width="18.28515625" customWidth="1"/>
    <col min="42" max="42" width="28.42578125" customWidth="1"/>
    <col min="43" max="44" width="23" customWidth="1"/>
    <col min="45" max="45" width="14.42578125" bestFit="1" customWidth="1"/>
    <col min="46" max="46" width="25.42578125" bestFit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2" t="s">
        <v>40</v>
      </c>
      <c r="AP1" s="2" t="s">
        <v>41</v>
      </c>
      <c r="AQ1" s="2"/>
      <c r="AR1" s="2"/>
    </row>
    <row r="2" spans="1:46" ht="15.75" customHeight="1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63</v>
      </c>
      <c r="X2">
        <v>2822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1529</v>
      </c>
      <c r="AJ2">
        <v>1441</v>
      </c>
      <c r="AK2">
        <v>0</v>
      </c>
      <c r="AL2">
        <f t="shared" ref="AL2:AL65" si="0">SUM(E2:J2)</f>
        <v>1617</v>
      </c>
      <c r="AM2">
        <f>IF(OR(Table1[[#This Row],[marital_Married]]=1,Table1[[#This Row],[marital_Together]]=1),1,0)</f>
        <v>0</v>
      </c>
      <c r="AN2" t="str">
        <f>IF(Table1[[#This Row],[Income]]&gt;=70000,"HIGH INCOME","LOW INCOME")</f>
        <v>LOW INCOME</v>
      </c>
      <c r="AO2" s="3" t="str">
        <f>IF(Table1[[#This Row],[MNT_TOTAL]]&gt;=900,"HIGH VALUE","LOW VALUE")</f>
        <v>HIGH VALUE</v>
      </c>
      <c r="AP2" s="3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" s="1"/>
      <c r="AR2" s="1"/>
    </row>
    <row r="3" spans="1:46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66</v>
      </c>
      <c r="X3">
        <v>2272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21</v>
      </c>
      <c r="AJ3">
        <v>15</v>
      </c>
      <c r="AK3">
        <v>0</v>
      </c>
      <c r="AL3">
        <f t="shared" si="0"/>
        <v>27</v>
      </c>
      <c r="AM3">
        <f>IF(OR(Table1[[#This Row],[marital_Married]]=1,Table1[[#This Row],[marital_Together]]=1),1,0)</f>
        <v>0</v>
      </c>
      <c r="AN3" t="str">
        <f>IF(Table1[[#This Row],[Income]]&gt;=70000,"HIGH INCOME","LOW INCOME")</f>
        <v>LOW INCOME</v>
      </c>
      <c r="AO3" s="1" t="str">
        <f>IF(Table1[[#This Row],[MNT_TOTAL]]&gt;=900,"HIGH VALUE","LOW VALUE")</f>
        <v>LOW VALUE</v>
      </c>
      <c r="AP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" s="1"/>
      <c r="AR3" s="1"/>
      <c r="AS3" t="s">
        <v>42</v>
      </c>
      <c r="AT3">
        <f>_xlfn.QUARTILE.EXC(AL2:AL2206,1)</f>
        <v>69</v>
      </c>
    </row>
    <row r="4" spans="1:46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55</v>
      </c>
      <c r="X4">
        <v>2471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734</v>
      </c>
      <c r="AJ4">
        <v>692</v>
      </c>
      <c r="AK4">
        <v>0</v>
      </c>
      <c r="AL4">
        <f t="shared" si="0"/>
        <v>776</v>
      </c>
      <c r="AM4">
        <f>IF(OR(Table1[[#This Row],[marital_Married]]=1,Table1[[#This Row],[marital_Together]]=1),1,0)</f>
        <v>1</v>
      </c>
      <c r="AN4" t="str">
        <f>IF(Table1[[#This Row],[Income]]&gt;=70000,"HIGH INCOME","LOW INCOME")</f>
        <v>HIGH INCOME</v>
      </c>
      <c r="AO4" s="1" t="str">
        <f>IF(Table1[[#This Row],[MNT_TOTAL]]&gt;=900,"HIGH VALUE","LOW VALUE")</f>
        <v>LOW VALUE</v>
      </c>
      <c r="AP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" s="1"/>
      <c r="AR4" s="1"/>
      <c r="AS4" t="s">
        <v>43</v>
      </c>
      <c r="AT4">
        <f>_xlfn.QUARTILE.EXC(AL2:AL2206,3)</f>
        <v>1047.5</v>
      </c>
    </row>
    <row r="5" spans="1:46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36</v>
      </c>
      <c r="X5">
        <v>2298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48</v>
      </c>
      <c r="AJ5">
        <v>43</v>
      </c>
      <c r="AK5">
        <v>0</v>
      </c>
      <c r="AL5">
        <f t="shared" si="0"/>
        <v>53</v>
      </c>
      <c r="AM5">
        <f>IF(OR(Table1[[#This Row],[marital_Married]]=1,Table1[[#This Row],[marital_Together]]=1),1,0)</f>
        <v>1</v>
      </c>
      <c r="AN5" t="str">
        <f>IF(Table1[[#This Row],[Income]]&gt;=70000,"HIGH INCOME","LOW INCOME")</f>
        <v>LOW INCOME</v>
      </c>
      <c r="AO5" s="1" t="str">
        <f>IF(Table1[[#This Row],[MNT_TOTAL]]&gt;=900,"HIGH VALUE","LOW VALUE")</f>
        <v>LOW VALUE</v>
      </c>
      <c r="AP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" s="1"/>
      <c r="AR5" s="1"/>
      <c r="AS5" t="s">
        <v>44</v>
      </c>
      <c r="AT5">
        <f>AT4-AT3</f>
        <v>978.5</v>
      </c>
    </row>
    <row r="6" spans="1:46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39</v>
      </c>
      <c r="X6">
        <v>2320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407</v>
      </c>
      <c r="AJ6">
        <v>392</v>
      </c>
      <c r="AK6">
        <v>0</v>
      </c>
      <c r="AL6">
        <f t="shared" si="0"/>
        <v>422</v>
      </c>
      <c r="AM6">
        <f>IF(OR(Table1[[#This Row],[marital_Married]]=1,Table1[[#This Row],[marital_Together]]=1),1,0)</f>
        <v>1</v>
      </c>
      <c r="AN6" t="str">
        <f>IF(Table1[[#This Row],[Income]]&gt;=70000,"HIGH INCOME","LOW INCOME")</f>
        <v>LOW INCOME</v>
      </c>
      <c r="AO6" s="1" t="str">
        <f>IF(Table1[[#This Row],[MNT_TOTAL]]&gt;=900,"HIGH VALUE","LOW VALUE")</f>
        <v>LOW VALUE</v>
      </c>
      <c r="AP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" s="1"/>
      <c r="AR6" s="1"/>
      <c r="AS6" t="s">
        <v>45</v>
      </c>
      <c r="AT6">
        <f>AT3-1.5*AT5</f>
        <v>-1398.75</v>
      </c>
    </row>
    <row r="7" spans="1:46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53</v>
      </c>
      <c r="X7">
        <v>2452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702</v>
      </c>
      <c r="AJ7">
        <v>688</v>
      </c>
      <c r="AK7">
        <v>0</v>
      </c>
      <c r="AL7">
        <f t="shared" si="0"/>
        <v>716</v>
      </c>
      <c r="AM7">
        <f>IF(OR(Table1[[#This Row],[marital_Married]]=1,Table1[[#This Row],[marital_Together]]=1),1,0)</f>
        <v>1</v>
      </c>
      <c r="AN7" t="str">
        <f>IF(Table1[[#This Row],[Income]]&gt;=70000,"HIGH INCOME","LOW INCOME")</f>
        <v>LOW INCOME</v>
      </c>
      <c r="AO7" s="1" t="str">
        <f>IF(Table1[[#This Row],[MNT_TOTAL]]&gt;=900,"HIGH VALUE","LOW VALUE")</f>
        <v>LOW VALUE</v>
      </c>
      <c r="AP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" s="1"/>
      <c r="AR7" s="1"/>
      <c r="AS7" t="s">
        <v>46</v>
      </c>
      <c r="AT7">
        <f>AT4+1.5*AT5</f>
        <v>2515.25</v>
      </c>
    </row>
    <row r="8" spans="1:46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49</v>
      </c>
      <c r="X8">
        <v>2752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563</v>
      </c>
      <c r="AJ8">
        <v>536</v>
      </c>
      <c r="AK8">
        <v>0</v>
      </c>
      <c r="AL8">
        <f t="shared" si="0"/>
        <v>590</v>
      </c>
      <c r="AM8">
        <f>IF(OR(Table1[[#This Row],[marital_Married]]=1,Table1[[#This Row],[marital_Together]]=1),1,0)</f>
        <v>0</v>
      </c>
      <c r="AN8" t="str">
        <f>IF(Table1[[#This Row],[Income]]&gt;=70000,"HIGH INCOME","LOW INCOME")</f>
        <v>LOW INCOME</v>
      </c>
      <c r="AO8" s="1" t="str">
        <f>IF(Table1[[#This Row],[MNT_TOTAL]]&gt;=900,"HIGH VALUE","LOW VALUE")</f>
        <v>LOW VALUE</v>
      </c>
      <c r="AP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" s="1"/>
      <c r="AR8" s="1"/>
    </row>
    <row r="9" spans="1:46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35</v>
      </c>
      <c r="X9">
        <v>2576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146</v>
      </c>
      <c r="AJ9">
        <v>123</v>
      </c>
      <c r="AK9">
        <v>0</v>
      </c>
      <c r="AL9">
        <f t="shared" si="0"/>
        <v>169</v>
      </c>
      <c r="AM9">
        <f>IF(OR(Table1[[#This Row],[marital_Married]]=1,Table1[[#This Row],[marital_Together]]=1),1,0)</f>
        <v>1</v>
      </c>
      <c r="AN9" t="str">
        <f>IF(Table1[[#This Row],[Income]]&gt;=70000,"HIGH INCOME","LOW INCOME")</f>
        <v>LOW INCOME</v>
      </c>
      <c r="AO9" s="1" t="str">
        <f>IF(Table1[[#This Row],[MNT_TOTAL]]&gt;=900,"HIGH VALUE","LOW VALUE")</f>
        <v>LOW VALUE</v>
      </c>
      <c r="AP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" s="1"/>
      <c r="AR9" s="1"/>
    </row>
    <row r="10" spans="1:46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46</v>
      </c>
      <c r="X10">
        <v>2547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44</v>
      </c>
      <c r="AJ10">
        <v>42</v>
      </c>
      <c r="AK10">
        <v>0</v>
      </c>
      <c r="AL10">
        <f t="shared" si="0"/>
        <v>46</v>
      </c>
      <c r="AM10">
        <f>IF(OR(Table1[[#This Row],[marital_Married]]=1,Table1[[#This Row],[marital_Together]]=1),1,0)</f>
        <v>1</v>
      </c>
      <c r="AN10" t="str">
        <f>IF(Table1[[#This Row],[Income]]&gt;=70000,"HIGH INCOME","LOW INCOME")</f>
        <v>LOW INCOME</v>
      </c>
      <c r="AO10" s="1" t="str">
        <f>IF(Table1[[#This Row],[MNT_TOTAL]]&gt;=900,"HIGH VALUE","LOW VALUE")</f>
        <v>LOW VALUE</v>
      </c>
      <c r="AP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" s="1"/>
      <c r="AR10" s="1"/>
    </row>
    <row r="11" spans="1:46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70</v>
      </c>
      <c r="X11">
        <v>2267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36</v>
      </c>
      <c r="AJ11">
        <v>23</v>
      </c>
      <c r="AK11">
        <v>1</v>
      </c>
      <c r="AL11">
        <f t="shared" si="0"/>
        <v>49</v>
      </c>
      <c r="AM11">
        <f>IF(OR(Table1[[#This Row],[marital_Married]]=1,Table1[[#This Row],[marital_Together]]=1),1,0)</f>
        <v>1</v>
      </c>
      <c r="AN11" t="str">
        <f>IF(Table1[[#This Row],[Income]]&gt;=70000,"HIGH INCOME","LOW INCOME")</f>
        <v>LOW INCOME</v>
      </c>
      <c r="AO11" s="1" t="str">
        <f>IF(Table1[[#This Row],[MNT_TOTAL]]&gt;=900,"HIGH VALUE","LOW VALUE")</f>
        <v>LOW VALUE</v>
      </c>
      <c r="AP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" s="1"/>
      <c r="AR11" s="1"/>
    </row>
    <row r="12" spans="1:46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44</v>
      </c>
      <c r="X12">
        <v>2752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45</v>
      </c>
      <c r="AJ12">
        <v>29</v>
      </c>
      <c r="AK12">
        <v>0</v>
      </c>
      <c r="AL12">
        <f t="shared" si="0"/>
        <v>61</v>
      </c>
      <c r="AM12">
        <f>IF(OR(Table1[[#This Row],[marital_Married]]=1,Table1[[#This Row],[marital_Together]]=1),1,0)</f>
        <v>1</v>
      </c>
      <c r="AN12" t="str">
        <f>IF(Table1[[#This Row],[Income]]&gt;=70000,"HIGH INCOME","LOW INCOME")</f>
        <v>LOW INCOME</v>
      </c>
      <c r="AO12" s="1" t="str">
        <f>IF(Table1[[#This Row],[MNT_TOTAL]]&gt;=900,"HIGH VALUE","LOW VALUE")</f>
        <v>LOW VALUE</v>
      </c>
      <c r="AP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" s="1"/>
      <c r="AR12" s="1"/>
    </row>
    <row r="13" spans="1:46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61</v>
      </c>
      <c r="X13">
        <v>2385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1072</v>
      </c>
      <c r="AJ13">
        <v>1042</v>
      </c>
      <c r="AK13">
        <v>0</v>
      </c>
      <c r="AL13">
        <f t="shared" si="0"/>
        <v>1102</v>
      </c>
      <c r="AM13">
        <f>IF(OR(Table1[[#This Row],[marital_Married]]=1,Table1[[#This Row],[marital_Together]]=1),1,0)</f>
        <v>0</v>
      </c>
      <c r="AN13" t="str">
        <f>IF(Table1[[#This Row],[Income]]&gt;=70000,"HIGH INCOME","LOW INCOME")</f>
        <v>LOW INCOME</v>
      </c>
      <c r="AO13" s="1" t="str">
        <f>IF(Table1[[#This Row],[MNT_TOTAL]]&gt;=900,"HIGH VALUE","LOW VALUE")</f>
        <v>HIGH VALUE</v>
      </c>
      <c r="AP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" s="1"/>
      <c r="AR13" s="1"/>
    </row>
    <row r="14" spans="1:46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68</v>
      </c>
      <c r="X14">
        <v>2385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296</v>
      </c>
      <c r="AJ14">
        <v>282</v>
      </c>
      <c r="AK14">
        <v>0</v>
      </c>
      <c r="AL14">
        <f t="shared" si="0"/>
        <v>310</v>
      </c>
      <c r="AM14">
        <f>IF(OR(Table1[[#This Row],[marital_Married]]=1,Table1[[#This Row],[marital_Together]]=1),1,0)</f>
        <v>0</v>
      </c>
      <c r="AN14" t="str">
        <f>IF(Table1[[#This Row],[Income]]&gt;=70000,"HIGH INCOME","LOW INCOME")</f>
        <v>LOW INCOME</v>
      </c>
      <c r="AO14" s="1" t="str">
        <f>IF(Table1[[#This Row],[MNT_TOTAL]]&gt;=900,"HIGH VALUE","LOW VALUE")</f>
        <v>LOW VALUE</v>
      </c>
      <c r="AP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" s="1"/>
      <c r="AR14" s="1"/>
    </row>
    <row r="15" spans="1:46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33</v>
      </c>
      <c r="X15">
        <v>2786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41</v>
      </c>
      <c r="AJ15">
        <v>36</v>
      </c>
      <c r="AK15">
        <v>0</v>
      </c>
      <c r="AL15">
        <f t="shared" si="0"/>
        <v>46</v>
      </c>
      <c r="AM15">
        <f>IF(OR(Table1[[#This Row],[marital_Married]]=1,Table1[[#This Row],[marital_Together]]=1),1,0)</f>
        <v>1</v>
      </c>
      <c r="AN15" t="str">
        <f>IF(Table1[[#This Row],[Income]]&gt;=70000,"HIGH INCOME","LOW INCOME")</f>
        <v>LOW INCOME</v>
      </c>
      <c r="AO15" s="1" t="str">
        <f>IF(Table1[[#This Row],[MNT_TOTAL]]&gt;=900,"HIGH VALUE","LOW VALUE")</f>
        <v>LOW VALUE</v>
      </c>
      <c r="AP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" s="1"/>
      <c r="AR15" s="1"/>
    </row>
    <row r="16" spans="1:46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74</v>
      </c>
      <c r="X16">
        <v>2741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1270</v>
      </c>
      <c r="AJ16">
        <v>1225</v>
      </c>
      <c r="AK16">
        <v>2</v>
      </c>
      <c r="AL16">
        <f t="shared" si="0"/>
        <v>1315</v>
      </c>
      <c r="AM16">
        <f>IF(OR(Table1[[#This Row],[marital_Married]]=1,Table1[[#This Row],[marital_Together]]=1),1,0)</f>
        <v>0</v>
      </c>
      <c r="AN16" t="str">
        <f>IF(Table1[[#This Row],[Income]]&gt;=70000,"HIGH INCOME","LOW INCOME")</f>
        <v>HIGH INCOME</v>
      </c>
      <c r="AO16" s="1" t="str">
        <f>IF(Table1[[#This Row],[MNT_TOTAL]]&gt;=900,"HIGH VALUE","LOW VALUE")</f>
        <v>HIGH VALUE</v>
      </c>
      <c r="AP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" s="1"/>
      <c r="AR16" s="1"/>
    </row>
    <row r="17" spans="1:44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40</v>
      </c>
      <c r="X17">
        <v>2711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92</v>
      </c>
      <c r="AJ17">
        <v>88</v>
      </c>
      <c r="AK17">
        <v>0</v>
      </c>
      <c r="AL17">
        <f t="shared" si="0"/>
        <v>96</v>
      </c>
      <c r="AM17">
        <f>IF(OR(Table1[[#This Row],[marital_Married]]=1,Table1[[#This Row],[marital_Together]]=1),1,0)</f>
        <v>1</v>
      </c>
      <c r="AN17" t="str">
        <f>IF(Table1[[#This Row],[Income]]&gt;=70000,"HIGH INCOME","LOW INCOME")</f>
        <v>LOW INCOME</v>
      </c>
      <c r="AO17" s="1" t="str">
        <f>IF(Table1[[#This Row],[MNT_TOTAL]]&gt;=900,"HIGH VALUE","LOW VALUE")</f>
        <v>LOW VALUE</v>
      </c>
      <c r="AP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" s="1"/>
      <c r="AR17" s="1"/>
    </row>
    <row r="18" spans="1:44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74</v>
      </c>
      <c r="X18">
        <v>2826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289</v>
      </c>
      <c r="AJ18">
        <v>261</v>
      </c>
      <c r="AK18">
        <v>0</v>
      </c>
      <c r="AL18">
        <f t="shared" si="0"/>
        <v>317</v>
      </c>
      <c r="AM18">
        <f>IF(OR(Table1[[#This Row],[marital_Married]]=1,Table1[[#This Row],[marital_Together]]=1),1,0)</f>
        <v>1</v>
      </c>
      <c r="AN18" t="str">
        <f>IF(Table1[[#This Row],[Income]]&gt;=70000,"HIGH INCOME","LOW INCOME")</f>
        <v>LOW INCOME</v>
      </c>
      <c r="AO18" s="1" t="str">
        <f>IF(Table1[[#This Row],[MNT_TOTAL]]&gt;=900,"HIGH VALUE","LOW VALUE")</f>
        <v>LOW VALUE</v>
      </c>
      <c r="AP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" s="1"/>
      <c r="AR18" s="1"/>
    </row>
    <row r="19" spans="1:44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71</v>
      </c>
      <c r="X19">
        <v>2617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1606</v>
      </c>
      <c r="AJ19">
        <v>1430</v>
      </c>
      <c r="AK19">
        <v>1</v>
      </c>
      <c r="AL19">
        <f t="shared" si="0"/>
        <v>1782</v>
      </c>
      <c r="AM19">
        <f>IF(OR(Table1[[#This Row],[marital_Married]]=1,Table1[[#This Row],[marital_Together]]=1),1,0)</f>
        <v>1</v>
      </c>
      <c r="AN19" t="str">
        <f>IF(Table1[[#This Row],[Income]]&gt;=70000,"HIGH INCOME","LOW INCOME")</f>
        <v>HIGH INCOME</v>
      </c>
      <c r="AO19" s="1" t="str">
        <f>IF(Table1[[#This Row],[MNT_TOTAL]]&gt;=900,"HIGH VALUE","LOW VALUE")</f>
        <v>HIGH VALUE</v>
      </c>
      <c r="AP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" s="1"/>
      <c r="AR19" s="1"/>
    </row>
    <row r="20" spans="1:44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35</v>
      </c>
      <c r="X20">
        <v>2762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94</v>
      </c>
      <c r="AJ20">
        <v>55</v>
      </c>
      <c r="AK20">
        <v>0</v>
      </c>
      <c r="AL20">
        <f t="shared" si="0"/>
        <v>133</v>
      </c>
      <c r="AM20">
        <f>IF(OR(Table1[[#This Row],[marital_Married]]=1,Table1[[#This Row],[marital_Together]]=1),1,0)</f>
        <v>0</v>
      </c>
      <c r="AN20" t="str">
        <f>IF(Table1[[#This Row],[Income]]&gt;=70000,"HIGH INCOME","LOW INCOME")</f>
        <v>LOW INCOME</v>
      </c>
      <c r="AO20" s="1" t="str">
        <f>IF(Table1[[#This Row],[MNT_TOTAL]]&gt;=900,"HIGH VALUE","LOW VALUE")</f>
        <v>LOW VALUE</v>
      </c>
      <c r="AP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" s="1"/>
      <c r="AR20" s="1"/>
    </row>
    <row r="21" spans="1:44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38</v>
      </c>
      <c r="X21">
        <v>2849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268</v>
      </c>
      <c r="AJ21">
        <v>220</v>
      </c>
      <c r="AK21">
        <v>0</v>
      </c>
      <c r="AL21">
        <f t="shared" si="0"/>
        <v>316</v>
      </c>
      <c r="AM21">
        <f>IF(OR(Table1[[#This Row],[marital_Married]]=1,Table1[[#This Row],[marital_Together]]=1),1,0)</f>
        <v>1</v>
      </c>
      <c r="AN21" t="str">
        <f>IF(Table1[[#This Row],[Income]]&gt;=70000,"HIGH INCOME","LOW INCOME")</f>
        <v>LOW INCOME</v>
      </c>
      <c r="AO21" s="1" t="str">
        <f>IF(Table1[[#This Row],[MNT_TOTAL]]&gt;=900,"HIGH VALUE","LOW VALUE")</f>
        <v>LOW VALUE</v>
      </c>
      <c r="AP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" s="1"/>
      <c r="AR21" s="1"/>
    </row>
    <row r="22" spans="1:44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41</v>
      </c>
      <c r="X22">
        <v>2698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1729</v>
      </c>
      <c r="AJ22">
        <v>1728</v>
      </c>
      <c r="AK22">
        <v>0</v>
      </c>
      <c r="AL22">
        <f t="shared" si="0"/>
        <v>1730</v>
      </c>
      <c r="AM22">
        <f>IF(OR(Table1[[#This Row],[marital_Married]]=1,Table1[[#This Row],[marital_Together]]=1),1,0)</f>
        <v>1</v>
      </c>
      <c r="AN22" t="str">
        <f>IF(Table1[[#This Row],[Income]]&gt;=70000,"HIGH INCOME","LOW INCOME")</f>
        <v>LOW INCOME</v>
      </c>
      <c r="AO22" s="1" t="str">
        <f>IF(Table1[[#This Row],[MNT_TOTAL]]&gt;=900,"HIGH VALUE","LOW VALUE")</f>
        <v>HIGH VALUE</v>
      </c>
      <c r="AP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" s="1"/>
      <c r="AR22" s="1"/>
    </row>
    <row r="23" spans="1:44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71</v>
      </c>
      <c r="X23">
        <v>2712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953</v>
      </c>
      <c r="AJ23">
        <v>934</v>
      </c>
      <c r="AK23">
        <v>1</v>
      </c>
      <c r="AL23">
        <f t="shared" si="0"/>
        <v>972</v>
      </c>
      <c r="AM23">
        <f>IF(OR(Table1[[#This Row],[marital_Married]]=1,Table1[[#This Row],[marital_Together]]=1),1,0)</f>
        <v>1</v>
      </c>
      <c r="AN23" t="str">
        <f>IF(Table1[[#This Row],[Income]]&gt;=70000,"HIGH INCOME","LOW INCOME")</f>
        <v>LOW INCOME</v>
      </c>
      <c r="AO23" s="1" t="str">
        <f>IF(Table1[[#This Row],[MNT_TOTAL]]&gt;=900,"HIGH VALUE","LOW VALUE")</f>
        <v>HIGH VALUE</v>
      </c>
      <c r="AP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" s="1"/>
      <c r="AR23" s="1"/>
    </row>
    <row r="24" spans="1:44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66</v>
      </c>
      <c r="X24">
        <v>2328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539</v>
      </c>
      <c r="AJ24">
        <v>534</v>
      </c>
      <c r="AK24">
        <v>0</v>
      </c>
      <c r="AL24">
        <f t="shared" si="0"/>
        <v>544</v>
      </c>
      <c r="AM24">
        <f>IF(OR(Table1[[#This Row],[marital_Married]]=1,Table1[[#This Row],[marital_Together]]=1),1,0)</f>
        <v>1</v>
      </c>
      <c r="AN24" t="str">
        <f>IF(Table1[[#This Row],[Income]]&gt;=70000,"HIGH INCOME","LOW INCOME")</f>
        <v>LOW INCOME</v>
      </c>
      <c r="AO24" s="1" t="str">
        <f>IF(Table1[[#This Row],[MNT_TOTAL]]&gt;=900,"HIGH VALUE","LOW VALUE")</f>
        <v>LOW VALUE</v>
      </c>
      <c r="AP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4" s="1"/>
      <c r="AR24" s="1"/>
    </row>
    <row r="25" spans="1:44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69</v>
      </c>
      <c r="X25">
        <v>2627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345</v>
      </c>
      <c r="AJ25">
        <v>246</v>
      </c>
      <c r="AK25">
        <v>0</v>
      </c>
      <c r="AL25">
        <f t="shared" si="0"/>
        <v>444</v>
      </c>
      <c r="AM25">
        <f>IF(OR(Table1[[#This Row],[marital_Married]]=1,Table1[[#This Row],[marital_Together]]=1),1,0)</f>
        <v>1</v>
      </c>
      <c r="AN25" t="str">
        <f>IF(Table1[[#This Row],[Income]]&gt;=70000,"HIGH INCOME","LOW INCOME")</f>
        <v>LOW INCOME</v>
      </c>
      <c r="AO25" s="1" t="str">
        <f>IF(Table1[[#This Row],[MNT_TOTAL]]&gt;=900,"HIGH VALUE","LOW VALUE")</f>
        <v>LOW VALUE</v>
      </c>
      <c r="AP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" s="1"/>
      <c r="AR25" s="1"/>
    </row>
    <row r="26" spans="1:44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51</v>
      </c>
      <c r="X26">
        <v>2702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62</v>
      </c>
      <c r="AJ26">
        <v>49</v>
      </c>
      <c r="AK26">
        <v>0</v>
      </c>
      <c r="AL26">
        <f t="shared" si="0"/>
        <v>75</v>
      </c>
      <c r="AM26">
        <f>IF(OR(Table1[[#This Row],[marital_Married]]=1,Table1[[#This Row],[marital_Together]]=1),1,0)</f>
        <v>0</v>
      </c>
      <c r="AN26" t="str">
        <f>IF(Table1[[#This Row],[Income]]&gt;=70000,"HIGH INCOME","LOW INCOME")</f>
        <v>LOW INCOME</v>
      </c>
      <c r="AO26" s="1" t="str">
        <f>IF(Table1[[#This Row],[MNT_TOTAL]]&gt;=900,"HIGH VALUE","LOW VALUE")</f>
        <v>LOW VALUE</v>
      </c>
      <c r="AP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" s="1"/>
      <c r="AR26" s="1"/>
    </row>
    <row r="27" spans="1:44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44</v>
      </c>
      <c r="X27">
        <v>2557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216</v>
      </c>
      <c r="AJ27">
        <v>175</v>
      </c>
      <c r="AK27">
        <v>0</v>
      </c>
      <c r="AL27">
        <f t="shared" si="0"/>
        <v>257</v>
      </c>
      <c r="AM27">
        <f>IF(OR(Table1[[#This Row],[marital_Married]]=1,Table1[[#This Row],[marital_Together]]=1),1,0)</f>
        <v>1</v>
      </c>
      <c r="AN27" t="str">
        <f>IF(Table1[[#This Row],[Income]]&gt;=70000,"HIGH INCOME","LOW INCOME")</f>
        <v>LOW INCOME</v>
      </c>
      <c r="AO27" s="1" t="str">
        <f>IF(Table1[[#This Row],[MNT_TOTAL]]&gt;=900,"HIGH VALUE","LOW VALUE")</f>
        <v>LOW VALUE</v>
      </c>
      <c r="AP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" s="1"/>
      <c r="AR27" s="1"/>
    </row>
    <row r="28" spans="1:44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31</v>
      </c>
      <c r="X28">
        <v>2553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121</v>
      </c>
      <c r="AJ28">
        <v>111</v>
      </c>
      <c r="AK28">
        <v>0</v>
      </c>
      <c r="AL28">
        <f t="shared" si="0"/>
        <v>131</v>
      </c>
      <c r="AM28">
        <f>IF(OR(Table1[[#This Row],[marital_Married]]=1,Table1[[#This Row],[marital_Together]]=1),1,0)</f>
        <v>1</v>
      </c>
      <c r="AN28" t="str">
        <f>IF(Table1[[#This Row],[Income]]&gt;=70000,"HIGH INCOME","LOW INCOME")</f>
        <v>LOW INCOME</v>
      </c>
      <c r="AO28" s="1" t="str">
        <f>IF(Table1[[#This Row],[MNT_TOTAL]]&gt;=900,"HIGH VALUE","LOW VALUE")</f>
        <v>LOW VALUE</v>
      </c>
      <c r="AP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8" s="1"/>
      <c r="AR28" s="1"/>
    </row>
    <row r="29" spans="1:44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55</v>
      </c>
      <c r="X29">
        <v>2378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1672</v>
      </c>
      <c r="AJ29">
        <v>1672</v>
      </c>
      <c r="AK29">
        <v>1</v>
      </c>
      <c r="AL29">
        <f t="shared" si="0"/>
        <v>1672</v>
      </c>
      <c r="AM29">
        <f>IF(OR(Table1[[#This Row],[marital_Married]]=1,Table1[[#This Row],[marital_Together]]=1),1,0)</f>
        <v>1</v>
      </c>
      <c r="AN29" t="str">
        <f>IF(Table1[[#This Row],[Income]]&gt;=70000,"HIGH INCOME","LOW INCOME")</f>
        <v>HIGH INCOME</v>
      </c>
      <c r="AO29" s="1" t="str">
        <f>IF(Table1[[#This Row],[MNT_TOTAL]]&gt;=900,"HIGH VALUE","LOW VALUE")</f>
        <v>HIGH VALUE</v>
      </c>
      <c r="AP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9" s="1"/>
      <c r="AR29" s="1"/>
    </row>
    <row r="30" spans="1:44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31</v>
      </c>
      <c r="X30">
        <v>2197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26</v>
      </c>
      <c r="AJ30">
        <v>22</v>
      </c>
      <c r="AK30">
        <v>0</v>
      </c>
      <c r="AL30">
        <f t="shared" si="0"/>
        <v>30</v>
      </c>
      <c r="AM30">
        <f>IF(OR(Table1[[#This Row],[marital_Married]]=1,Table1[[#This Row],[marital_Together]]=1),1,0)</f>
        <v>0</v>
      </c>
      <c r="AN30" t="str">
        <f>IF(Table1[[#This Row],[Income]]&gt;=70000,"HIGH INCOME","LOW INCOME")</f>
        <v>LOW INCOME</v>
      </c>
      <c r="AO30" s="1" t="str">
        <f>IF(Table1[[#This Row],[MNT_TOTAL]]&gt;=900,"HIGH VALUE","LOW VALUE")</f>
        <v>LOW VALUE</v>
      </c>
      <c r="AP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0" s="1"/>
      <c r="AR30" s="1"/>
    </row>
    <row r="31" spans="1:44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57</v>
      </c>
      <c r="X31">
        <v>2573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229</v>
      </c>
      <c r="AJ31">
        <v>140</v>
      </c>
      <c r="AK31">
        <v>0</v>
      </c>
      <c r="AL31">
        <f t="shared" si="0"/>
        <v>318</v>
      </c>
      <c r="AM31">
        <f>IF(OR(Table1[[#This Row],[marital_Married]]=1,Table1[[#This Row],[marital_Together]]=1),1,0)</f>
        <v>1</v>
      </c>
      <c r="AN31" t="str">
        <f>IF(Table1[[#This Row],[Income]]&gt;=70000,"HIGH INCOME","LOW INCOME")</f>
        <v>LOW INCOME</v>
      </c>
      <c r="AO31" s="1" t="str">
        <f>IF(Table1[[#This Row],[MNT_TOTAL]]&gt;=900,"HIGH VALUE","LOW VALUE")</f>
        <v>LOW VALUE</v>
      </c>
      <c r="AP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1" s="1"/>
      <c r="AR31" s="1"/>
    </row>
    <row r="32" spans="1:44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50</v>
      </c>
      <c r="X32">
        <v>2786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117</v>
      </c>
      <c r="AJ32">
        <v>114</v>
      </c>
      <c r="AK32">
        <v>1</v>
      </c>
      <c r="AL32">
        <f t="shared" si="0"/>
        <v>120</v>
      </c>
      <c r="AM32">
        <f>IF(OR(Table1[[#This Row],[marital_Married]]=1,Table1[[#This Row],[marital_Together]]=1),1,0)</f>
        <v>1</v>
      </c>
      <c r="AN32" t="str">
        <f>IF(Table1[[#This Row],[Income]]&gt;=70000,"HIGH INCOME","LOW INCOME")</f>
        <v>LOW INCOME</v>
      </c>
      <c r="AO32" s="1" t="str">
        <f>IF(Table1[[#This Row],[MNT_TOTAL]]&gt;=900,"HIGH VALUE","LOW VALUE")</f>
        <v>LOW VALUE</v>
      </c>
      <c r="AP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2" s="1"/>
      <c r="AR32" s="1"/>
    </row>
    <row r="33" spans="1:44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68</v>
      </c>
      <c r="X33">
        <v>2767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259</v>
      </c>
      <c r="AJ33">
        <v>216</v>
      </c>
      <c r="AK33">
        <v>0</v>
      </c>
      <c r="AL33">
        <f t="shared" si="0"/>
        <v>302</v>
      </c>
      <c r="AM33">
        <f>IF(OR(Table1[[#This Row],[marital_Married]]=1,Table1[[#This Row],[marital_Together]]=1),1,0)</f>
        <v>0</v>
      </c>
      <c r="AN33" t="str">
        <f>IF(Table1[[#This Row],[Income]]&gt;=70000,"HIGH INCOME","LOW INCOME")</f>
        <v>LOW INCOME</v>
      </c>
      <c r="AO33" s="1" t="str">
        <f>IF(Table1[[#This Row],[MNT_TOTAL]]&gt;=900,"HIGH VALUE","LOW VALUE")</f>
        <v>LOW VALUE</v>
      </c>
      <c r="AP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3" s="1"/>
      <c r="AR33" s="1"/>
    </row>
    <row r="34" spans="1:44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74</v>
      </c>
      <c r="X34">
        <v>2653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1174</v>
      </c>
      <c r="AJ34">
        <v>1152</v>
      </c>
      <c r="AK34">
        <v>0</v>
      </c>
      <c r="AL34">
        <f t="shared" si="0"/>
        <v>1196</v>
      </c>
      <c r="AM34">
        <f>IF(OR(Table1[[#This Row],[marital_Married]]=1,Table1[[#This Row],[marital_Together]]=1),1,0)</f>
        <v>1</v>
      </c>
      <c r="AN34" t="str">
        <f>IF(Table1[[#This Row],[Income]]&gt;=70000,"HIGH INCOME","LOW INCOME")</f>
        <v>LOW INCOME</v>
      </c>
      <c r="AO34" s="1" t="str">
        <f>IF(Table1[[#This Row],[MNT_TOTAL]]&gt;=900,"HIGH VALUE","LOW VALUE")</f>
        <v>HIGH VALUE</v>
      </c>
      <c r="AP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4" s="1"/>
      <c r="AR34" s="1"/>
    </row>
    <row r="35" spans="1:44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69</v>
      </c>
      <c r="X35">
        <v>2463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62</v>
      </c>
      <c r="AJ35">
        <v>59</v>
      </c>
      <c r="AK35">
        <v>0</v>
      </c>
      <c r="AL35">
        <f t="shared" si="0"/>
        <v>65</v>
      </c>
      <c r="AM35">
        <f>IF(OR(Table1[[#This Row],[marital_Married]]=1,Table1[[#This Row],[marital_Together]]=1),1,0)</f>
        <v>0</v>
      </c>
      <c r="AN35" t="str">
        <f>IF(Table1[[#This Row],[Income]]&gt;=70000,"HIGH INCOME","LOW INCOME")</f>
        <v>LOW INCOME</v>
      </c>
      <c r="AO35" s="1" t="str">
        <f>IF(Table1[[#This Row],[MNT_TOTAL]]&gt;=900,"HIGH VALUE","LOW VALUE")</f>
        <v>LOW VALUE</v>
      </c>
      <c r="AP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" s="1"/>
      <c r="AR35" s="1"/>
    </row>
    <row r="36" spans="1:44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50</v>
      </c>
      <c r="X36">
        <v>2339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878</v>
      </c>
      <c r="AJ36">
        <v>843</v>
      </c>
      <c r="AK36">
        <v>0</v>
      </c>
      <c r="AL36">
        <f t="shared" si="0"/>
        <v>913</v>
      </c>
      <c r="AM36">
        <f>IF(OR(Table1[[#This Row],[marital_Married]]=1,Table1[[#This Row],[marital_Together]]=1),1,0)</f>
        <v>1</v>
      </c>
      <c r="AN36" t="str">
        <f>IF(Table1[[#This Row],[Income]]&gt;=70000,"HIGH INCOME","LOW INCOME")</f>
        <v>LOW INCOME</v>
      </c>
      <c r="AO36" s="1" t="str">
        <f>IF(Table1[[#This Row],[MNT_TOTAL]]&gt;=900,"HIGH VALUE","LOW VALUE")</f>
        <v>HIGH VALUE</v>
      </c>
      <c r="AP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" s="1"/>
      <c r="AR36" s="1"/>
    </row>
    <row r="37" spans="1:44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44</v>
      </c>
      <c r="X37">
        <v>2459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45</v>
      </c>
      <c r="AJ37">
        <v>9</v>
      </c>
      <c r="AK37">
        <v>0</v>
      </c>
      <c r="AL37">
        <f t="shared" si="0"/>
        <v>81</v>
      </c>
      <c r="AM37">
        <f>IF(OR(Table1[[#This Row],[marital_Married]]=1,Table1[[#This Row],[marital_Together]]=1),1,0)</f>
        <v>1</v>
      </c>
      <c r="AN37" t="str">
        <f>IF(Table1[[#This Row],[Income]]&gt;=70000,"HIGH INCOME","LOW INCOME")</f>
        <v>LOW INCOME</v>
      </c>
      <c r="AO37" s="1" t="str">
        <f>IF(Table1[[#This Row],[MNT_TOTAL]]&gt;=900,"HIGH VALUE","LOW VALUE")</f>
        <v>LOW VALUE</v>
      </c>
      <c r="AP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7" s="1"/>
      <c r="AR37" s="1"/>
    </row>
    <row r="38" spans="1:44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47</v>
      </c>
      <c r="X38">
        <v>2297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63</v>
      </c>
      <c r="AJ38">
        <v>59</v>
      </c>
      <c r="AK38">
        <v>0</v>
      </c>
      <c r="AL38">
        <f t="shared" si="0"/>
        <v>67</v>
      </c>
      <c r="AM38">
        <f>IF(OR(Table1[[#This Row],[marital_Married]]=1,Table1[[#This Row],[marital_Together]]=1),1,0)</f>
        <v>0</v>
      </c>
      <c r="AN38" t="str">
        <f>IF(Table1[[#This Row],[Income]]&gt;=70000,"HIGH INCOME","LOW INCOME")</f>
        <v>LOW INCOME</v>
      </c>
      <c r="AO38" s="1" t="str">
        <f>IF(Table1[[#This Row],[MNT_TOTAL]]&gt;=900,"HIGH VALUE","LOW VALUE")</f>
        <v>LOW VALUE</v>
      </c>
      <c r="AP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" s="1"/>
      <c r="AR38" s="1"/>
    </row>
    <row r="39" spans="1:44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77</v>
      </c>
      <c r="X39">
        <v>2672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860</v>
      </c>
      <c r="AJ39">
        <v>818</v>
      </c>
      <c r="AK39">
        <v>1</v>
      </c>
      <c r="AL39">
        <f t="shared" si="0"/>
        <v>902</v>
      </c>
      <c r="AM39">
        <f>IF(OR(Table1[[#This Row],[marital_Married]]=1,Table1[[#This Row],[marital_Together]]=1),1,0)</f>
        <v>0</v>
      </c>
      <c r="AN39" t="str">
        <f>IF(Table1[[#This Row],[Income]]&gt;=70000,"HIGH INCOME","LOW INCOME")</f>
        <v>LOW INCOME</v>
      </c>
      <c r="AO39" s="1" t="str">
        <f>IF(Table1[[#This Row],[MNT_TOTAL]]&gt;=900,"HIGH VALUE","LOW VALUE")</f>
        <v>HIGH VALUE</v>
      </c>
      <c r="AP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" s="1"/>
      <c r="AR39" s="1"/>
    </row>
    <row r="40" spans="1:44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40</v>
      </c>
      <c r="X40">
        <v>2585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1293</v>
      </c>
      <c r="AJ40">
        <v>1191</v>
      </c>
      <c r="AK40">
        <v>0</v>
      </c>
      <c r="AL40">
        <f t="shared" si="0"/>
        <v>1395</v>
      </c>
      <c r="AM40">
        <f>IF(OR(Table1[[#This Row],[marital_Married]]=1,Table1[[#This Row],[marital_Together]]=1),1,0)</f>
        <v>1</v>
      </c>
      <c r="AN40" t="str">
        <f>IF(Table1[[#This Row],[Income]]&gt;=70000,"HIGH INCOME","LOW INCOME")</f>
        <v>HIGH INCOME</v>
      </c>
      <c r="AO40" s="1" t="str">
        <f>IF(Table1[[#This Row],[MNT_TOTAL]]&gt;=900,"HIGH VALUE","LOW VALUE")</f>
        <v>HIGH VALUE</v>
      </c>
      <c r="AP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0" s="1"/>
      <c r="AR40" s="1"/>
    </row>
    <row r="41" spans="1:44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35</v>
      </c>
      <c r="X41">
        <v>2633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46</v>
      </c>
      <c r="AJ41">
        <v>39</v>
      </c>
      <c r="AK41">
        <v>0</v>
      </c>
      <c r="AL41">
        <f t="shared" si="0"/>
        <v>53</v>
      </c>
      <c r="AM41">
        <f>IF(OR(Table1[[#This Row],[marital_Married]]=1,Table1[[#This Row],[marital_Together]]=1),1,0)</f>
        <v>1</v>
      </c>
      <c r="AN41" t="str">
        <f>IF(Table1[[#This Row],[Income]]&gt;=70000,"HIGH INCOME","LOW INCOME")</f>
        <v>LOW INCOME</v>
      </c>
      <c r="AO41" s="1" t="str">
        <f>IF(Table1[[#This Row],[MNT_TOTAL]]&gt;=900,"HIGH VALUE","LOW VALUE")</f>
        <v>LOW VALUE</v>
      </c>
      <c r="AP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1" s="1"/>
      <c r="AR41" s="1"/>
    </row>
    <row r="42" spans="1:44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63</v>
      </c>
      <c r="X42">
        <v>2711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19</v>
      </c>
      <c r="AJ42">
        <v>16</v>
      </c>
      <c r="AK42">
        <v>0</v>
      </c>
      <c r="AL42">
        <f t="shared" si="0"/>
        <v>22</v>
      </c>
      <c r="AM42">
        <f>IF(OR(Table1[[#This Row],[marital_Married]]=1,Table1[[#This Row],[marital_Together]]=1),1,0)</f>
        <v>1</v>
      </c>
      <c r="AN42" t="str">
        <f>IF(Table1[[#This Row],[Income]]&gt;=70000,"HIGH INCOME","LOW INCOME")</f>
        <v>LOW INCOME</v>
      </c>
      <c r="AO42" s="1" t="str">
        <f>IF(Table1[[#This Row],[MNT_TOTAL]]&gt;=900,"HIGH VALUE","LOW VALUE")</f>
        <v>LOW VALUE</v>
      </c>
      <c r="AP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" s="1"/>
      <c r="AR42" s="1"/>
    </row>
    <row r="43" spans="1:44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45</v>
      </c>
      <c r="X43">
        <v>2429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19</v>
      </c>
      <c r="AJ43">
        <v>7</v>
      </c>
      <c r="AK43">
        <v>0</v>
      </c>
      <c r="AL43">
        <f t="shared" si="0"/>
        <v>31</v>
      </c>
      <c r="AM43">
        <f>IF(OR(Table1[[#This Row],[marital_Married]]=1,Table1[[#This Row],[marital_Together]]=1),1,0)</f>
        <v>1</v>
      </c>
      <c r="AN43" t="str">
        <f>IF(Table1[[#This Row],[Income]]&gt;=70000,"HIGH INCOME","LOW INCOME")</f>
        <v>LOW INCOME</v>
      </c>
      <c r="AO43" s="1" t="str">
        <f>IF(Table1[[#This Row],[MNT_TOTAL]]&gt;=900,"HIGH VALUE","LOW VALUE")</f>
        <v>LOW VALUE</v>
      </c>
      <c r="AP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3" s="1"/>
      <c r="AR43" s="1"/>
    </row>
    <row r="44" spans="1:44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44</v>
      </c>
      <c r="X44">
        <v>2160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810</v>
      </c>
      <c r="AJ44">
        <v>636</v>
      </c>
      <c r="AK44">
        <v>0</v>
      </c>
      <c r="AL44">
        <f t="shared" si="0"/>
        <v>984</v>
      </c>
      <c r="AM44">
        <f>IF(OR(Table1[[#This Row],[marital_Married]]=1,Table1[[#This Row],[marital_Together]]=1),1,0)</f>
        <v>0</v>
      </c>
      <c r="AN44" t="str">
        <f>IF(Table1[[#This Row],[Income]]&gt;=70000,"HIGH INCOME","LOW INCOME")</f>
        <v>HIGH INCOME</v>
      </c>
      <c r="AO44" s="1" t="str">
        <f>IF(Table1[[#This Row],[MNT_TOTAL]]&gt;=900,"HIGH VALUE","LOW VALUE")</f>
        <v>HIGH VALUE</v>
      </c>
      <c r="AP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4" s="1"/>
      <c r="AR44" s="1"/>
    </row>
    <row r="45" spans="1:44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24</v>
      </c>
      <c r="X45">
        <v>2756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72</v>
      </c>
      <c r="AJ45">
        <v>22</v>
      </c>
      <c r="AK45">
        <v>0</v>
      </c>
      <c r="AL45">
        <f t="shared" si="0"/>
        <v>122</v>
      </c>
      <c r="AM45">
        <f>IF(OR(Table1[[#This Row],[marital_Married]]=1,Table1[[#This Row],[marital_Together]]=1),1,0)</f>
        <v>1</v>
      </c>
      <c r="AN45" t="str">
        <f>IF(Table1[[#This Row],[Income]]&gt;=70000,"HIGH INCOME","LOW INCOME")</f>
        <v>LOW INCOME</v>
      </c>
      <c r="AO45" s="1" t="str">
        <f>IF(Table1[[#This Row],[MNT_TOTAL]]&gt;=900,"HIGH VALUE","LOW VALUE")</f>
        <v>LOW VALUE</v>
      </c>
      <c r="AP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5" s="1"/>
      <c r="AR45" s="1"/>
    </row>
    <row r="46" spans="1:44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52</v>
      </c>
      <c r="X46">
        <v>2560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42</v>
      </c>
      <c r="AJ46">
        <v>29</v>
      </c>
      <c r="AK46">
        <v>0</v>
      </c>
      <c r="AL46">
        <f t="shared" si="0"/>
        <v>55</v>
      </c>
      <c r="AM46">
        <f>IF(OR(Table1[[#This Row],[marital_Married]]=1,Table1[[#This Row],[marital_Together]]=1),1,0)</f>
        <v>1</v>
      </c>
      <c r="AN46" t="str">
        <f>IF(Table1[[#This Row],[Income]]&gt;=70000,"HIGH INCOME","LOW INCOME")</f>
        <v>LOW INCOME</v>
      </c>
      <c r="AO46" s="1" t="str">
        <f>IF(Table1[[#This Row],[MNT_TOTAL]]&gt;=900,"HIGH VALUE","LOW VALUE")</f>
        <v>LOW VALUE</v>
      </c>
      <c r="AP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" s="1"/>
      <c r="AR46" s="1"/>
    </row>
    <row r="47" spans="1:44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66</v>
      </c>
      <c r="X47">
        <v>2757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1281</v>
      </c>
      <c r="AJ47">
        <v>1243</v>
      </c>
      <c r="AK47">
        <v>0</v>
      </c>
      <c r="AL47">
        <f t="shared" si="0"/>
        <v>1319</v>
      </c>
      <c r="AM47">
        <f>IF(OR(Table1[[#This Row],[marital_Married]]=1,Table1[[#This Row],[marital_Together]]=1),1,0)</f>
        <v>1</v>
      </c>
      <c r="AN47" t="str">
        <f>IF(Table1[[#This Row],[Income]]&gt;=70000,"HIGH INCOME","LOW INCOME")</f>
        <v>HIGH INCOME</v>
      </c>
      <c r="AO47" s="1" t="str">
        <f>IF(Table1[[#This Row],[MNT_TOTAL]]&gt;=900,"HIGH VALUE","LOW VALUE")</f>
        <v>HIGH VALUE</v>
      </c>
      <c r="AP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7" s="1"/>
      <c r="AR47" s="1"/>
    </row>
    <row r="48" spans="1:44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63</v>
      </c>
      <c r="X48">
        <v>2207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493</v>
      </c>
      <c r="AJ48">
        <v>479</v>
      </c>
      <c r="AK48">
        <v>0</v>
      </c>
      <c r="AL48">
        <f t="shared" si="0"/>
        <v>507</v>
      </c>
      <c r="AM48">
        <f>IF(OR(Table1[[#This Row],[marital_Married]]=1,Table1[[#This Row],[marital_Together]]=1),1,0)</f>
        <v>0</v>
      </c>
      <c r="AN48" t="str">
        <f>IF(Table1[[#This Row],[Income]]&gt;=70000,"HIGH INCOME","LOW INCOME")</f>
        <v>LOW INCOME</v>
      </c>
      <c r="AO48" s="1" t="str">
        <f>IF(Table1[[#This Row],[MNT_TOTAL]]&gt;=900,"HIGH VALUE","LOW VALUE")</f>
        <v>LOW VALUE</v>
      </c>
      <c r="AP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8" s="1"/>
      <c r="AR48" s="1"/>
    </row>
    <row r="49" spans="1:44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56</v>
      </c>
      <c r="X49">
        <v>2846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1661</v>
      </c>
      <c r="AJ49">
        <v>1629</v>
      </c>
      <c r="AK49">
        <v>0</v>
      </c>
      <c r="AL49">
        <f t="shared" si="0"/>
        <v>1693</v>
      </c>
      <c r="AM49">
        <f>IF(OR(Table1[[#This Row],[marital_Married]]=1,Table1[[#This Row],[marital_Together]]=1),1,0)</f>
        <v>1</v>
      </c>
      <c r="AN49" t="str">
        <f>IF(Table1[[#This Row],[Income]]&gt;=70000,"HIGH INCOME","LOW INCOME")</f>
        <v>HIGH INCOME</v>
      </c>
      <c r="AO49" s="1" t="str">
        <f>IF(Table1[[#This Row],[MNT_TOTAL]]&gt;=900,"HIGH VALUE","LOW VALUE")</f>
        <v>HIGH VALUE</v>
      </c>
      <c r="AP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9" s="1"/>
      <c r="AR49" s="1"/>
    </row>
    <row r="50" spans="1:44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43</v>
      </c>
      <c r="X50">
        <v>2702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69</v>
      </c>
      <c r="AJ50">
        <v>66</v>
      </c>
      <c r="AK50">
        <v>0</v>
      </c>
      <c r="AL50">
        <f t="shared" si="0"/>
        <v>72</v>
      </c>
      <c r="AM50">
        <f>IF(OR(Table1[[#This Row],[marital_Married]]=1,Table1[[#This Row],[marital_Together]]=1),1,0)</f>
        <v>0</v>
      </c>
      <c r="AN50" t="str">
        <f>IF(Table1[[#This Row],[Income]]&gt;=70000,"HIGH INCOME","LOW INCOME")</f>
        <v>LOW INCOME</v>
      </c>
      <c r="AO50" s="1" t="str">
        <f>IF(Table1[[#This Row],[MNT_TOTAL]]&gt;=900,"HIGH VALUE","LOW VALUE")</f>
        <v>LOW VALUE</v>
      </c>
      <c r="AP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0" s="1"/>
      <c r="AR50" s="1"/>
    </row>
    <row r="51" spans="1:44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43</v>
      </c>
      <c r="X51">
        <v>2181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1376</v>
      </c>
      <c r="AJ51">
        <v>1135</v>
      </c>
      <c r="AK51">
        <v>2</v>
      </c>
      <c r="AL51">
        <f t="shared" si="0"/>
        <v>1617</v>
      </c>
      <c r="AM51">
        <f>IF(OR(Table1[[#This Row],[marital_Married]]=1,Table1[[#This Row],[marital_Together]]=1),1,0)</f>
        <v>0</v>
      </c>
      <c r="AN51" t="str">
        <f>IF(Table1[[#This Row],[Income]]&gt;=70000,"HIGH INCOME","LOW INCOME")</f>
        <v>HIGH INCOME</v>
      </c>
      <c r="AO51" s="1" t="str">
        <f>IF(Table1[[#This Row],[MNT_TOTAL]]&gt;=900,"HIGH VALUE","LOW VALUE")</f>
        <v>HIGH VALUE</v>
      </c>
      <c r="AP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1" s="1"/>
      <c r="AR51" s="1"/>
    </row>
    <row r="52" spans="1:44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42</v>
      </c>
      <c r="X52">
        <v>2541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497</v>
      </c>
      <c r="AJ52">
        <v>388</v>
      </c>
      <c r="AK52">
        <v>0</v>
      </c>
      <c r="AL52">
        <f t="shared" si="0"/>
        <v>606</v>
      </c>
      <c r="AM52">
        <f>IF(OR(Table1[[#This Row],[marital_Married]]=1,Table1[[#This Row],[marital_Together]]=1),1,0)</f>
        <v>1</v>
      </c>
      <c r="AN52" t="str">
        <f>IF(Table1[[#This Row],[Income]]&gt;=70000,"HIGH INCOME","LOW INCOME")</f>
        <v>LOW INCOME</v>
      </c>
      <c r="AO52" s="1" t="str">
        <f>IF(Table1[[#This Row],[MNT_TOTAL]]&gt;=900,"HIGH VALUE","LOW VALUE")</f>
        <v>LOW VALUE</v>
      </c>
      <c r="AP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" s="1"/>
      <c r="AR52" s="1"/>
    </row>
    <row r="53" spans="1:44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65</v>
      </c>
      <c r="X53">
        <v>2746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1767</v>
      </c>
      <c r="AJ53">
        <v>1577</v>
      </c>
      <c r="AK53">
        <v>1</v>
      </c>
      <c r="AL53">
        <f t="shared" si="0"/>
        <v>1957</v>
      </c>
      <c r="AM53">
        <f>IF(OR(Table1[[#This Row],[marital_Married]]=1,Table1[[#This Row],[marital_Together]]=1),1,0)</f>
        <v>1</v>
      </c>
      <c r="AN53" t="str">
        <f>IF(Table1[[#This Row],[Income]]&gt;=70000,"HIGH INCOME","LOW INCOME")</f>
        <v>HIGH INCOME</v>
      </c>
      <c r="AO53" s="1" t="str">
        <f>IF(Table1[[#This Row],[MNT_TOTAL]]&gt;=900,"HIGH VALUE","LOW VALUE")</f>
        <v>HIGH VALUE</v>
      </c>
      <c r="AP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3" s="1"/>
      <c r="AR53" s="1"/>
    </row>
    <row r="54" spans="1:44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54</v>
      </c>
      <c r="X54">
        <v>2612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1053</v>
      </c>
      <c r="AJ54">
        <v>1013</v>
      </c>
      <c r="AK54">
        <v>0</v>
      </c>
      <c r="AL54">
        <f t="shared" si="0"/>
        <v>1093</v>
      </c>
      <c r="AM54">
        <f>IF(OR(Table1[[#This Row],[marital_Married]]=1,Table1[[#This Row],[marital_Together]]=1),1,0)</f>
        <v>0</v>
      </c>
      <c r="AN54" t="str">
        <f>IF(Table1[[#This Row],[Income]]&gt;=70000,"HIGH INCOME","LOW INCOME")</f>
        <v>HIGH INCOME</v>
      </c>
      <c r="AO54" s="1" t="str">
        <f>IF(Table1[[#This Row],[MNT_TOTAL]]&gt;=900,"HIGH VALUE","LOW VALUE")</f>
        <v>HIGH VALUE</v>
      </c>
      <c r="AP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4" s="1"/>
      <c r="AR54" s="1"/>
    </row>
    <row r="55" spans="1:44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32</v>
      </c>
      <c r="X55">
        <v>2221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24</v>
      </c>
      <c r="AJ55">
        <v>19</v>
      </c>
      <c r="AK55">
        <v>0</v>
      </c>
      <c r="AL55">
        <f t="shared" si="0"/>
        <v>29</v>
      </c>
      <c r="AM55">
        <f>IF(OR(Table1[[#This Row],[marital_Married]]=1,Table1[[#This Row],[marital_Together]]=1),1,0)</f>
        <v>0</v>
      </c>
      <c r="AN55" t="str">
        <f>IF(Table1[[#This Row],[Income]]&gt;=70000,"HIGH INCOME","LOW INCOME")</f>
        <v>LOW INCOME</v>
      </c>
      <c r="AO55" s="1" t="str">
        <f>IF(Table1[[#This Row],[MNT_TOTAL]]&gt;=900,"HIGH VALUE","LOW VALUE")</f>
        <v>LOW VALUE</v>
      </c>
      <c r="AP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5" s="1"/>
      <c r="AR55" s="1"/>
    </row>
    <row r="56" spans="1:44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52</v>
      </c>
      <c r="X56">
        <v>2277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475</v>
      </c>
      <c r="AJ56">
        <v>432</v>
      </c>
      <c r="AK56">
        <v>0</v>
      </c>
      <c r="AL56">
        <f t="shared" si="0"/>
        <v>518</v>
      </c>
      <c r="AM56">
        <f>IF(OR(Table1[[#This Row],[marital_Married]]=1,Table1[[#This Row],[marital_Together]]=1),1,0)</f>
        <v>1</v>
      </c>
      <c r="AN56" t="str">
        <f>IF(Table1[[#This Row],[Income]]&gt;=70000,"HIGH INCOME","LOW INCOME")</f>
        <v>LOW INCOME</v>
      </c>
      <c r="AO56" s="1" t="str">
        <f>IF(Table1[[#This Row],[MNT_TOTAL]]&gt;=900,"HIGH VALUE","LOW VALUE")</f>
        <v>LOW VALUE</v>
      </c>
      <c r="AP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" s="1"/>
      <c r="AR56" s="1"/>
    </row>
    <row r="57" spans="1:44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38</v>
      </c>
      <c r="X57">
        <v>2519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1358</v>
      </c>
      <c r="AJ57">
        <v>1278</v>
      </c>
      <c r="AK57">
        <v>2</v>
      </c>
      <c r="AL57">
        <f t="shared" si="0"/>
        <v>1438</v>
      </c>
      <c r="AM57">
        <f>IF(OR(Table1[[#This Row],[marital_Married]]=1,Table1[[#This Row],[marital_Together]]=1),1,0)</f>
        <v>0</v>
      </c>
      <c r="AN57" t="str">
        <f>IF(Table1[[#This Row],[Income]]&gt;=70000,"HIGH INCOME","LOW INCOME")</f>
        <v>HIGH INCOME</v>
      </c>
      <c r="AO57" s="1" t="str">
        <f>IF(Table1[[#This Row],[MNT_TOTAL]]&gt;=900,"HIGH VALUE","LOW VALUE")</f>
        <v>HIGH VALUE</v>
      </c>
      <c r="AP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7" s="1"/>
      <c r="AR57" s="1"/>
    </row>
    <row r="58" spans="1:44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45</v>
      </c>
      <c r="X58">
        <v>2819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606</v>
      </c>
      <c r="AJ58">
        <v>600</v>
      </c>
      <c r="AK58">
        <v>0</v>
      </c>
      <c r="AL58">
        <f t="shared" si="0"/>
        <v>612</v>
      </c>
      <c r="AM58">
        <f>IF(OR(Table1[[#This Row],[marital_Married]]=1,Table1[[#This Row],[marital_Together]]=1),1,0)</f>
        <v>1</v>
      </c>
      <c r="AN58" t="str">
        <f>IF(Table1[[#This Row],[Income]]&gt;=70000,"HIGH INCOME","LOW INCOME")</f>
        <v>LOW INCOME</v>
      </c>
      <c r="AO58" s="1" t="str">
        <f>IF(Table1[[#This Row],[MNT_TOTAL]]&gt;=900,"HIGH VALUE","LOW VALUE")</f>
        <v>LOW VALUE</v>
      </c>
      <c r="AP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" s="1"/>
      <c r="AR58" s="1"/>
    </row>
    <row r="59" spans="1:44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68</v>
      </c>
      <c r="X59">
        <v>2655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715</v>
      </c>
      <c r="AJ59">
        <v>546</v>
      </c>
      <c r="AK59">
        <v>0</v>
      </c>
      <c r="AL59">
        <f t="shared" si="0"/>
        <v>884</v>
      </c>
      <c r="AM59">
        <f>IF(OR(Table1[[#This Row],[marital_Married]]=1,Table1[[#This Row],[marital_Together]]=1),1,0)</f>
        <v>0</v>
      </c>
      <c r="AN59" t="str">
        <f>IF(Table1[[#This Row],[Income]]&gt;=70000,"HIGH INCOME","LOW INCOME")</f>
        <v>LOW INCOME</v>
      </c>
      <c r="AO59" s="1" t="str">
        <f>IF(Table1[[#This Row],[MNT_TOTAL]]&gt;=900,"HIGH VALUE","LOW VALUE")</f>
        <v>LOW VALUE</v>
      </c>
      <c r="AP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" s="1"/>
      <c r="AR59" s="1"/>
    </row>
    <row r="60" spans="1:44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69</v>
      </c>
      <c r="X60">
        <v>2542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600</v>
      </c>
      <c r="AJ60">
        <v>594</v>
      </c>
      <c r="AK60">
        <v>0</v>
      </c>
      <c r="AL60">
        <f t="shared" si="0"/>
        <v>606</v>
      </c>
      <c r="AM60">
        <f>IF(OR(Table1[[#This Row],[marital_Married]]=1,Table1[[#This Row],[marital_Together]]=1),1,0)</f>
        <v>0</v>
      </c>
      <c r="AN60" t="str">
        <f>IF(Table1[[#This Row],[Income]]&gt;=70000,"HIGH INCOME","LOW INCOME")</f>
        <v>LOW INCOME</v>
      </c>
      <c r="AO60" s="1" t="str">
        <f>IF(Table1[[#This Row],[MNT_TOTAL]]&gt;=900,"HIGH VALUE","LOW VALUE")</f>
        <v>LOW VALUE</v>
      </c>
      <c r="AP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0" s="1"/>
      <c r="AR60" s="1"/>
    </row>
    <row r="61" spans="1:44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72</v>
      </c>
      <c r="X61">
        <v>2364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1046</v>
      </c>
      <c r="AJ61">
        <v>1016</v>
      </c>
      <c r="AK61">
        <v>0</v>
      </c>
      <c r="AL61">
        <f t="shared" si="0"/>
        <v>1076</v>
      </c>
      <c r="AM61">
        <f>IF(OR(Table1[[#This Row],[marital_Married]]=1,Table1[[#This Row],[marital_Together]]=1),1,0)</f>
        <v>1</v>
      </c>
      <c r="AN61" t="str">
        <f>IF(Table1[[#This Row],[Income]]&gt;=70000,"HIGH INCOME","LOW INCOME")</f>
        <v>HIGH INCOME</v>
      </c>
      <c r="AO61" s="1" t="str">
        <f>IF(Table1[[#This Row],[MNT_TOTAL]]&gt;=900,"HIGH VALUE","LOW VALUE")</f>
        <v>HIGH VALUE</v>
      </c>
      <c r="AP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1" s="1"/>
      <c r="AR61" s="1"/>
    </row>
    <row r="62" spans="1:44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49</v>
      </c>
      <c r="X62">
        <v>2563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19</v>
      </c>
      <c r="AJ62">
        <v>4</v>
      </c>
      <c r="AK62">
        <v>0</v>
      </c>
      <c r="AL62">
        <f t="shared" si="0"/>
        <v>34</v>
      </c>
      <c r="AM62">
        <f>IF(OR(Table1[[#This Row],[marital_Married]]=1,Table1[[#This Row],[marital_Together]]=1),1,0)</f>
        <v>1</v>
      </c>
      <c r="AN62" t="str">
        <f>IF(Table1[[#This Row],[Income]]&gt;=70000,"HIGH INCOME","LOW INCOME")</f>
        <v>LOW INCOME</v>
      </c>
      <c r="AO62" s="1" t="str">
        <f>IF(Table1[[#This Row],[MNT_TOTAL]]&gt;=900,"HIGH VALUE","LOW VALUE")</f>
        <v>LOW VALUE</v>
      </c>
      <c r="AP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2" s="1"/>
      <c r="AR62" s="1"/>
    </row>
    <row r="63" spans="1:44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53</v>
      </c>
      <c r="X63">
        <v>2208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11</v>
      </c>
      <c r="AJ63">
        <v>11</v>
      </c>
      <c r="AK63">
        <v>0</v>
      </c>
      <c r="AL63">
        <f t="shared" si="0"/>
        <v>11</v>
      </c>
      <c r="AM63">
        <f>IF(OR(Table1[[#This Row],[marital_Married]]=1,Table1[[#This Row],[marital_Together]]=1),1,0)</f>
        <v>1</v>
      </c>
      <c r="AN63" t="str">
        <f>IF(Table1[[#This Row],[Income]]&gt;=70000,"HIGH INCOME","LOW INCOME")</f>
        <v>LOW INCOME</v>
      </c>
      <c r="AO63" s="1" t="str">
        <f>IF(Table1[[#This Row],[MNT_TOTAL]]&gt;=900,"HIGH VALUE","LOW VALUE")</f>
        <v>LOW VALUE</v>
      </c>
      <c r="AP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3" s="1"/>
      <c r="AR63" s="1"/>
    </row>
    <row r="64" spans="1:44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41</v>
      </c>
      <c r="X64">
        <v>2261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1236</v>
      </c>
      <c r="AJ64">
        <v>1198</v>
      </c>
      <c r="AK64">
        <v>2</v>
      </c>
      <c r="AL64">
        <f t="shared" si="0"/>
        <v>1274</v>
      </c>
      <c r="AM64">
        <f>IF(OR(Table1[[#This Row],[marital_Married]]=1,Table1[[#This Row],[marital_Together]]=1),1,0)</f>
        <v>0</v>
      </c>
      <c r="AN64" t="str">
        <f>IF(Table1[[#This Row],[Income]]&gt;=70000,"HIGH INCOME","LOW INCOME")</f>
        <v>HIGH INCOME</v>
      </c>
      <c r="AO64" s="1" t="str">
        <f>IF(Table1[[#This Row],[MNT_TOTAL]]&gt;=900,"HIGH VALUE","LOW VALUE")</f>
        <v>HIGH VALUE</v>
      </c>
      <c r="AP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4" s="1"/>
      <c r="AR64" s="1"/>
    </row>
    <row r="65" spans="1:44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62</v>
      </c>
      <c r="X65">
        <v>2434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544</v>
      </c>
      <c r="AJ65">
        <v>435</v>
      </c>
      <c r="AK65">
        <v>0</v>
      </c>
      <c r="AL65">
        <f t="shared" si="0"/>
        <v>653</v>
      </c>
      <c r="AM65">
        <f>IF(OR(Table1[[#This Row],[marital_Married]]=1,Table1[[#This Row],[marital_Together]]=1),1,0)</f>
        <v>1</v>
      </c>
      <c r="AN65" t="str">
        <f>IF(Table1[[#This Row],[Income]]&gt;=70000,"HIGH INCOME","LOW INCOME")</f>
        <v>LOW INCOME</v>
      </c>
      <c r="AO65" s="1" t="str">
        <f>IF(Table1[[#This Row],[MNT_TOTAL]]&gt;=900,"HIGH VALUE","LOW VALUE")</f>
        <v>LOW VALUE</v>
      </c>
      <c r="AP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5" s="1"/>
      <c r="AR65" s="1"/>
    </row>
    <row r="66" spans="1:44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50</v>
      </c>
      <c r="X66">
        <v>2606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1489</v>
      </c>
      <c r="AJ66">
        <v>1416</v>
      </c>
      <c r="AK66">
        <v>0</v>
      </c>
      <c r="AL66">
        <f t="shared" ref="AL66:AL129" si="1">SUM(E66:J66)</f>
        <v>1562</v>
      </c>
      <c r="AM66">
        <f>IF(OR(Table1[[#This Row],[marital_Married]]=1,Table1[[#This Row],[marital_Together]]=1),1,0)</f>
        <v>1</v>
      </c>
      <c r="AN66" t="str">
        <f>IF(Table1[[#This Row],[Income]]&gt;=70000,"HIGH INCOME","LOW INCOME")</f>
        <v>HIGH INCOME</v>
      </c>
      <c r="AO66" s="1" t="str">
        <f>IF(Table1[[#This Row],[MNT_TOTAL]]&gt;=900,"HIGH VALUE","LOW VALUE")</f>
        <v>HIGH VALUE</v>
      </c>
      <c r="AP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6" s="1"/>
      <c r="AR66" s="1"/>
    </row>
    <row r="67" spans="1:44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66</v>
      </c>
      <c r="X67">
        <v>2815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1241</v>
      </c>
      <c r="AJ67">
        <v>1229</v>
      </c>
      <c r="AK67">
        <v>0</v>
      </c>
      <c r="AL67">
        <f t="shared" si="1"/>
        <v>1253</v>
      </c>
      <c r="AM67">
        <f>IF(OR(Table1[[#This Row],[marital_Married]]=1,Table1[[#This Row],[marital_Together]]=1),1,0)</f>
        <v>1</v>
      </c>
      <c r="AN67" t="str">
        <f>IF(Table1[[#This Row],[Income]]&gt;=70000,"HIGH INCOME","LOW INCOME")</f>
        <v>LOW INCOME</v>
      </c>
      <c r="AO67" s="1" t="str">
        <f>IF(Table1[[#This Row],[MNT_TOTAL]]&gt;=900,"HIGH VALUE","LOW VALUE")</f>
        <v>HIGH VALUE</v>
      </c>
      <c r="AP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" s="1"/>
      <c r="AR67" s="1"/>
    </row>
    <row r="68" spans="1:44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61</v>
      </c>
      <c r="X68">
        <v>2628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777</v>
      </c>
      <c r="AJ68">
        <v>691</v>
      </c>
      <c r="AK68">
        <v>0</v>
      </c>
      <c r="AL68">
        <f t="shared" si="1"/>
        <v>863</v>
      </c>
      <c r="AM68">
        <f>IF(OR(Table1[[#This Row],[marital_Married]]=1,Table1[[#This Row],[marital_Together]]=1),1,0)</f>
        <v>1</v>
      </c>
      <c r="AN68" t="str">
        <f>IF(Table1[[#This Row],[Income]]&gt;=70000,"HIGH INCOME","LOW INCOME")</f>
        <v>LOW INCOME</v>
      </c>
      <c r="AO68" s="1" t="str">
        <f>IF(Table1[[#This Row],[MNT_TOTAL]]&gt;=900,"HIGH VALUE","LOW VALUE")</f>
        <v>LOW VALUE</v>
      </c>
      <c r="AP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8" s="1"/>
      <c r="AR68" s="1"/>
    </row>
    <row r="69" spans="1:44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45</v>
      </c>
      <c r="X69">
        <v>2609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642</v>
      </c>
      <c r="AJ69">
        <v>623</v>
      </c>
      <c r="AK69">
        <v>1</v>
      </c>
      <c r="AL69">
        <f t="shared" si="1"/>
        <v>661</v>
      </c>
      <c r="AM69">
        <f>IF(OR(Table1[[#This Row],[marital_Married]]=1,Table1[[#This Row],[marital_Together]]=1),1,0)</f>
        <v>1</v>
      </c>
      <c r="AN69" t="str">
        <f>IF(Table1[[#This Row],[Income]]&gt;=70000,"HIGH INCOME","LOW INCOME")</f>
        <v>LOW INCOME</v>
      </c>
      <c r="AO69" s="1" t="str">
        <f>IF(Table1[[#This Row],[MNT_TOTAL]]&gt;=900,"HIGH VALUE","LOW VALUE")</f>
        <v>LOW VALUE</v>
      </c>
      <c r="AP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" s="1"/>
      <c r="AR69" s="1"/>
    </row>
    <row r="70" spans="1:44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68</v>
      </c>
      <c r="X70">
        <v>2219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56</v>
      </c>
      <c r="AJ70">
        <v>47</v>
      </c>
      <c r="AK70">
        <v>0</v>
      </c>
      <c r="AL70">
        <f t="shared" si="1"/>
        <v>65</v>
      </c>
      <c r="AM70">
        <f>IF(OR(Table1[[#This Row],[marital_Married]]=1,Table1[[#This Row],[marital_Together]]=1),1,0)</f>
        <v>1</v>
      </c>
      <c r="AN70" t="str">
        <f>IF(Table1[[#This Row],[Income]]&gt;=70000,"HIGH INCOME","LOW INCOME")</f>
        <v>LOW INCOME</v>
      </c>
      <c r="AO70" s="1" t="str">
        <f>IF(Table1[[#This Row],[MNT_TOTAL]]&gt;=900,"HIGH VALUE","LOW VALUE")</f>
        <v>LOW VALUE</v>
      </c>
      <c r="AP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0" s="1"/>
      <c r="AR70" s="1"/>
    </row>
    <row r="71" spans="1:44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43</v>
      </c>
      <c r="X71">
        <v>2716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12</v>
      </c>
      <c r="AJ71">
        <v>11</v>
      </c>
      <c r="AK71">
        <v>0</v>
      </c>
      <c r="AL71">
        <f t="shared" si="1"/>
        <v>13</v>
      </c>
      <c r="AM71">
        <f>IF(OR(Table1[[#This Row],[marital_Married]]=1,Table1[[#This Row],[marital_Together]]=1),1,0)</f>
        <v>0</v>
      </c>
      <c r="AN71" t="str">
        <f>IF(Table1[[#This Row],[Income]]&gt;=70000,"HIGH INCOME","LOW INCOME")</f>
        <v>LOW INCOME</v>
      </c>
      <c r="AO71" s="1" t="str">
        <f>IF(Table1[[#This Row],[MNT_TOTAL]]&gt;=900,"HIGH VALUE","LOW VALUE")</f>
        <v>LOW VALUE</v>
      </c>
      <c r="AP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" s="1"/>
      <c r="AR71" s="1"/>
    </row>
    <row r="72" spans="1:44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48</v>
      </c>
      <c r="X72">
        <v>2830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1872</v>
      </c>
      <c r="AJ72">
        <v>1854</v>
      </c>
      <c r="AK72">
        <v>0</v>
      </c>
      <c r="AL72">
        <f t="shared" si="1"/>
        <v>1890</v>
      </c>
      <c r="AM72">
        <f>IF(OR(Table1[[#This Row],[marital_Married]]=1,Table1[[#This Row],[marital_Together]]=1),1,0)</f>
        <v>1</v>
      </c>
      <c r="AN72" t="str">
        <f>IF(Table1[[#This Row],[Income]]&gt;=70000,"HIGH INCOME","LOW INCOME")</f>
        <v>HIGH INCOME</v>
      </c>
      <c r="AO72" s="1" t="str">
        <f>IF(Table1[[#This Row],[MNT_TOTAL]]&gt;=900,"HIGH VALUE","LOW VALUE")</f>
        <v>HIGH VALUE</v>
      </c>
      <c r="AP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2" s="1"/>
      <c r="AR72" s="1"/>
    </row>
    <row r="73" spans="1:44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44</v>
      </c>
      <c r="X73">
        <v>2784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2158</v>
      </c>
      <c r="AJ73">
        <v>2107</v>
      </c>
      <c r="AK73">
        <v>1</v>
      </c>
      <c r="AL73">
        <f t="shared" si="1"/>
        <v>2209</v>
      </c>
      <c r="AM73">
        <f>IF(OR(Table1[[#This Row],[marital_Married]]=1,Table1[[#This Row],[marital_Together]]=1),1,0)</f>
        <v>0</v>
      </c>
      <c r="AN73" t="str">
        <f>IF(Table1[[#This Row],[Income]]&gt;=70000,"HIGH INCOME","LOW INCOME")</f>
        <v>HIGH INCOME</v>
      </c>
      <c r="AO73" s="1" t="str">
        <f>IF(Table1[[#This Row],[MNT_TOTAL]]&gt;=900,"HIGH VALUE","LOW VALUE")</f>
        <v>HIGH VALUE</v>
      </c>
      <c r="AP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3" s="1"/>
      <c r="AR73" s="1"/>
    </row>
    <row r="74" spans="1:44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44</v>
      </c>
      <c r="X74">
        <v>2457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9</v>
      </c>
      <c r="AJ74">
        <v>0</v>
      </c>
      <c r="AK74">
        <v>0</v>
      </c>
      <c r="AL74">
        <f t="shared" si="1"/>
        <v>18</v>
      </c>
      <c r="AM74">
        <f>IF(OR(Table1[[#This Row],[marital_Married]]=1,Table1[[#This Row],[marital_Together]]=1),1,0)</f>
        <v>1</v>
      </c>
      <c r="AN74" t="str">
        <f>IF(Table1[[#This Row],[Income]]&gt;=70000,"HIGH INCOME","LOW INCOME")</f>
        <v>LOW INCOME</v>
      </c>
      <c r="AO74" s="1" t="str">
        <f>IF(Table1[[#This Row],[MNT_TOTAL]]&gt;=900,"HIGH VALUE","LOW VALUE")</f>
        <v>LOW VALUE</v>
      </c>
      <c r="AP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4" s="1"/>
      <c r="AR74" s="1"/>
    </row>
    <row r="75" spans="1:44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55</v>
      </c>
      <c r="X75">
        <v>2702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641</v>
      </c>
      <c r="AJ75">
        <v>590</v>
      </c>
      <c r="AK75">
        <v>1</v>
      </c>
      <c r="AL75">
        <f t="shared" si="1"/>
        <v>692</v>
      </c>
      <c r="AM75">
        <f>IF(OR(Table1[[#This Row],[marital_Married]]=1,Table1[[#This Row],[marital_Together]]=1),1,0)</f>
        <v>1</v>
      </c>
      <c r="AN75" t="str">
        <f>IF(Table1[[#This Row],[Income]]&gt;=70000,"HIGH INCOME","LOW INCOME")</f>
        <v>LOW INCOME</v>
      </c>
      <c r="AO75" s="1" t="str">
        <f>IF(Table1[[#This Row],[MNT_TOTAL]]&gt;=900,"HIGH VALUE","LOW VALUE")</f>
        <v>LOW VALUE</v>
      </c>
      <c r="AP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" s="1"/>
      <c r="AR75" s="1"/>
    </row>
    <row r="76" spans="1:44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35</v>
      </c>
      <c r="X76">
        <v>2828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148</v>
      </c>
      <c r="AJ76">
        <v>131</v>
      </c>
      <c r="AK76">
        <v>0</v>
      </c>
      <c r="AL76">
        <f t="shared" si="1"/>
        <v>165</v>
      </c>
      <c r="AM76">
        <f>IF(OR(Table1[[#This Row],[marital_Married]]=1,Table1[[#This Row],[marital_Together]]=1),1,0)</f>
        <v>0</v>
      </c>
      <c r="AN76" t="str">
        <f>IF(Table1[[#This Row],[Income]]&gt;=70000,"HIGH INCOME","LOW INCOME")</f>
        <v>LOW INCOME</v>
      </c>
      <c r="AO76" s="1" t="str">
        <f>IF(Table1[[#This Row],[MNT_TOTAL]]&gt;=900,"HIGH VALUE","LOW VALUE")</f>
        <v>LOW VALUE</v>
      </c>
      <c r="AP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6" s="1"/>
      <c r="AR76" s="1"/>
    </row>
    <row r="77" spans="1:44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51</v>
      </c>
      <c r="X77">
        <v>2530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12</v>
      </c>
      <c r="AJ77">
        <v>8</v>
      </c>
      <c r="AK77">
        <v>0</v>
      </c>
      <c r="AL77">
        <f t="shared" si="1"/>
        <v>16</v>
      </c>
      <c r="AM77">
        <f>IF(OR(Table1[[#This Row],[marital_Married]]=1,Table1[[#This Row],[marital_Together]]=1),1,0)</f>
        <v>1</v>
      </c>
      <c r="AN77" t="str">
        <f>IF(Table1[[#This Row],[Income]]&gt;=70000,"HIGH INCOME","LOW INCOME")</f>
        <v>LOW INCOME</v>
      </c>
      <c r="AO77" s="1" t="str">
        <f>IF(Table1[[#This Row],[MNT_TOTAL]]&gt;=900,"HIGH VALUE","LOW VALUE")</f>
        <v>LOW VALUE</v>
      </c>
      <c r="AP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7" s="1"/>
      <c r="AR77" s="1"/>
    </row>
    <row r="78" spans="1:44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47</v>
      </c>
      <c r="X78">
        <v>2520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56</v>
      </c>
      <c r="AJ78">
        <v>33</v>
      </c>
      <c r="AK78">
        <v>0</v>
      </c>
      <c r="AL78">
        <f t="shared" si="1"/>
        <v>79</v>
      </c>
      <c r="AM78">
        <f>IF(OR(Table1[[#This Row],[marital_Married]]=1,Table1[[#This Row],[marital_Together]]=1),1,0)</f>
        <v>1</v>
      </c>
      <c r="AN78" t="str">
        <f>IF(Table1[[#This Row],[Income]]&gt;=70000,"HIGH INCOME","LOW INCOME")</f>
        <v>LOW INCOME</v>
      </c>
      <c r="AO78" s="1" t="str">
        <f>IF(Table1[[#This Row],[MNT_TOTAL]]&gt;=900,"HIGH VALUE","LOW VALUE")</f>
        <v>LOW VALUE</v>
      </c>
      <c r="AP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" s="1"/>
      <c r="AR78" s="1"/>
    </row>
    <row r="79" spans="1:44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57</v>
      </c>
      <c r="X79">
        <v>2573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229</v>
      </c>
      <c r="AJ79">
        <v>140</v>
      </c>
      <c r="AK79">
        <v>0</v>
      </c>
      <c r="AL79">
        <f t="shared" si="1"/>
        <v>318</v>
      </c>
      <c r="AM79">
        <f>IF(OR(Table1[[#This Row],[marital_Married]]=1,Table1[[#This Row],[marital_Together]]=1),1,0)</f>
        <v>1</v>
      </c>
      <c r="AN79" t="str">
        <f>IF(Table1[[#This Row],[Income]]&gt;=70000,"HIGH INCOME","LOW INCOME")</f>
        <v>LOW INCOME</v>
      </c>
      <c r="AO79" s="1" t="str">
        <f>IF(Table1[[#This Row],[MNT_TOTAL]]&gt;=900,"HIGH VALUE","LOW VALUE")</f>
        <v>LOW VALUE</v>
      </c>
      <c r="AP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9" s="1"/>
      <c r="AR79" s="1"/>
    </row>
    <row r="80" spans="1:44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33</v>
      </c>
      <c r="X80">
        <v>2283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702</v>
      </c>
      <c r="AJ80">
        <v>626</v>
      </c>
      <c r="AK80">
        <v>0</v>
      </c>
      <c r="AL80">
        <f t="shared" si="1"/>
        <v>778</v>
      </c>
      <c r="AM80">
        <f>IF(OR(Table1[[#This Row],[marital_Married]]=1,Table1[[#This Row],[marital_Together]]=1),1,0)</f>
        <v>0</v>
      </c>
      <c r="AN80" t="str">
        <f>IF(Table1[[#This Row],[Income]]&gt;=70000,"HIGH INCOME","LOW INCOME")</f>
        <v>HIGH INCOME</v>
      </c>
      <c r="AO80" s="1" t="str">
        <f>IF(Table1[[#This Row],[MNT_TOTAL]]&gt;=900,"HIGH VALUE","LOW VALUE")</f>
        <v>LOW VALUE</v>
      </c>
      <c r="AP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0" s="1"/>
      <c r="AR80" s="1"/>
    </row>
    <row r="81" spans="1:44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60</v>
      </c>
      <c r="X81">
        <v>2481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53</v>
      </c>
      <c r="AJ81">
        <v>50</v>
      </c>
      <c r="AK81">
        <v>0</v>
      </c>
      <c r="AL81">
        <f t="shared" si="1"/>
        <v>56</v>
      </c>
      <c r="AM81">
        <f>IF(OR(Table1[[#This Row],[marital_Married]]=1,Table1[[#This Row],[marital_Together]]=1),1,0)</f>
        <v>1</v>
      </c>
      <c r="AN81" t="str">
        <f>IF(Table1[[#This Row],[Income]]&gt;=70000,"HIGH INCOME","LOW INCOME")</f>
        <v>LOW INCOME</v>
      </c>
      <c r="AO81" s="1" t="str">
        <f>IF(Table1[[#This Row],[MNT_TOTAL]]&gt;=900,"HIGH VALUE","LOW VALUE")</f>
        <v>LOW VALUE</v>
      </c>
      <c r="AP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1" s="1"/>
      <c r="AR81" s="1"/>
    </row>
    <row r="82" spans="1:44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50</v>
      </c>
      <c r="X82">
        <v>2507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146</v>
      </c>
      <c r="AJ82">
        <v>141</v>
      </c>
      <c r="AK82">
        <v>1</v>
      </c>
      <c r="AL82">
        <f t="shared" si="1"/>
        <v>151</v>
      </c>
      <c r="AM82">
        <f>IF(OR(Table1[[#This Row],[marital_Married]]=1,Table1[[#This Row],[marital_Together]]=1),1,0)</f>
        <v>1</v>
      </c>
      <c r="AN82" t="str">
        <f>IF(Table1[[#This Row],[Income]]&gt;=70000,"HIGH INCOME","LOW INCOME")</f>
        <v>LOW INCOME</v>
      </c>
      <c r="AO82" s="1" t="str">
        <f>IF(Table1[[#This Row],[MNT_TOTAL]]&gt;=900,"HIGH VALUE","LOW VALUE")</f>
        <v>LOW VALUE</v>
      </c>
      <c r="AP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2" s="1"/>
      <c r="AR82" s="1"/>
    </row>
    <row r="83" spans="1:44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1</v>
      </c>
      <c r="W83">
        <v>63</v>
      </c>
      <c r="X83">
        <v>2191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338</v>
      </c>
      <c r="AJ83">
        <v>304</v>
      </c>
      <c r="AK83">
        <v>2</v>
      </c>
      <c r="AL83">
        <f t="shared" si="1"/>
        <v>372</v>
      </c>
      <c r="AM83">
        <f>IF(OR(Table1[[#This Row],[marital_Married]]=1,Table1[[#This Row],[marital_Together]]=1),1,0)</f>
        <v>0</v>
      </c>
      <c r="AN83" t="str">
        <f>IF(Table1[[#This Row],[Income]]&gt;=70000,"HIGH INCOME","LOW INCOME")</f>
        <v>LOW INCOME</v>
      </c>
      <c r="AO83" s="1" t="str">
        <f>IF(Table1[[#This Row],[MNT_TOTAL]]&gt;=900,"HIGH VALUE","LOW VALUE")</f>
        <v>LOW VALUE</v>
      </c>
      <c r="AP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3" s="1"/>
      <c r="AR83" s="1"/>
    </row>
    <row r="84" spans="1:44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47</v>
      </c>
      <c r="X84">
        <v>2207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1221</v>
      </c>
      <c r="AJ84">
        <v>1076</v>
      </c>
      <c r="AK84">
        <v>1</v>
      </c>
      <c r="AL84">
        <f t="shared" si="1"/>
        <v>1366</v>
      </c>
      <c r="AM84">
        <f>IF(OR(Table1[[#This Row],[marital_Married]]=1,Table1[[#This Row],[marital_Together]]=1),1,0)</f>
        <v>1</v>
      </c>
      <c r="AN84" t="str">
        <f>IF(Table1[[#This Row],[Income]]&gt;=70000,"HIGH INCOME","LOW INCOME")</f>
        <v>HIGH INCOME</v>
      </c>
      <c r="AO84" s="1" t="str">
        <f>IF(Table1[[#This Row],[MNT_TOTAL]]&gt;=900,"HIGH VALUE","LOW VALUE")</f>
        <v>HIGH VALUE</v>
      </c>
      <c r="AP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4" s="1"/>
      <c r="AR84" s="1"/>
    </row>
    <row r="85" spans="1:44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53</v>
      </c>
      <c r="X85">
        <v>2318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187</v>
      </c>
      <c r="AJ85">
        <v>180</v>
      </c>
      <c r="AK85">
        <v>0</v>
      </c>
      <c r="AL85">
        <f t="shared" si="1"/>
        <v>194</v>
      </c>
      <c r="AM85">
        <f>IF(OR(Table1[[#This Row],[marital_Married]]=1,Table1[[#This Row],[marital_Together]]=1),1,0)</f>
        <v>1</v>
      </c>
      <c r="AN85" t="str">
        <f>IF(Table1[[#This Row],[Income]]&gt;=70000,"HIGH INCOME","LOW INCOME")</f>
        <v>LOW INCOME</v>
      </c>
      <c r="AO85" s="1" t="str">
        <f>IF(Table1[[#This Row],[MNT_TOTAL]]&gt;=900,"HIGH VALUE","LOW VALUE")</f>
        <v>LOW VALUE</v>
      </c>
      <c r="AP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5" s="1"/>
      <c r="AR85" s="1"/>
    </row>
    <row r="86" spans="1:44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48</v>
      </c>
      <c r="X86">
        <v>2257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28</v>
      </c>
      <c r="AJ86">
        <v>24</v>
      </c>
      <c r="AK86">
        <v>0</v>
      </c>
      <c r="AL86">
        <f t="shared" si="1"/>
        <v>32</v>
      </c>
      <c r="AM86">
        <f>IF(OR(Table1[[#This Row],[marital_Married]]=1,Table1[[#This Row],[marital_Together]]=1),1,0)</f>
        <v>0</v>
      </c>
      <c r="AN86" t="str">
        <f>IF(Table1[[#This Row],[Income]]&gt;=70000,"HIGH INCOME","LOW INCOME")</f>
        <v>LOW INCOME</v>
      </c>
      <c r="AO86" s="1" t="str">
        <f>IF(Table1[[#This Row],[MNT_TOTAL]]&gt;=900,"HIGH VALUE","LOW VALUE")</f>
        <v>LOW VALUE</v>
      </c>
      <c r="AP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6" s="1"/>
      <c r="AR86" s="1"/>
    </row>
    <row r="87" spans="1:44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50</v>
      </c>
      <c r="X87">
        <v>2195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43</v>
      </c>
      <c r="AJ87">
        <v>43</v>
      </c>
      <c r="AK87">
        <v>0</v>
      </c>
      <c r="AL87">
        <f t="shared" si="1"/>
        <v>43</v>
      </c>
      <c r="AM87">
        <f>IF(OR(Table1[[#This Row],[marital_Married]]=1,Table1[[#This Row],[marital_Together]]=1),1,0)</f>
        <v>1</v>
      </c>
      <c r="AN87" t="str">
        <f>IF(Table1[[#This Row],[Income]]&gt;=70000,"HIGH INCOME","LOW INCOME")</f>
        <v>LOW INCOME</v>
      </c>
      <c r="AO87" s="1" t="str">
        <f>IF(Table1[[#This Row],[MNT_TOTAL]]&gt;=900,"HIGH VALUE","LOW VALUE")</f>
        <v>LOW VALUE</v>
      </c>
      <c r="AP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7" s="1"/>
      <c r="AR87" s="1"/>
    </row>
    <row r="88" spans="1:44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37</v>
      </c>
      <c r="X88">
        <v>2197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36</v>
      </c>
      <c r="AJ88">
        <v>27</v>
      </c>
      <c r="AK88">
        <v>0</v>
      </c>
      <c r="AL88">
        <f t="shared" si="1"/>
        <v>45</v>
      </c>
      <c r="AM88">
        <f>IF(OR(Table1[[#This Row],[marital_Married]]=1,Table1[[#This Row],[marital_Together]]=1),1,0)</f>
        <v>1</v>
      </c>
      <c r="AN88" t="str">
        <f>IF(Table1[[#This Row],[Income]]&gt;=70000,"HIGH INCOME","LOW INCOME")</f>
        <v>LOW INCOME</v>
      </c>
      <c r="AO88" s="1" t="str">
        <f>IF(Table1[[#This Row],[MNT_TOTAL]]&gt;=900,"HIGH VALUE","LOW VALUE")</f>
        <v>LOW VALUE</v>
      </c>
      <c r="AP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8" s="1"/>
      <c r="AR88" s="1"/>
    </row>
    <row r="89" spans="1:44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60</v>
      </c>
      <c r="X89">
        <v>2743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531</v>
      </c>
      <c r="AJ89">
        <v>456</v>
      </c>
      <c r="AK89">
        <v>1</v>
      </c>
      <c r="AL89">
        <f t="shared" si="1"/>
        <v>606</v>
      </c>
      <c r="AM89">
        <f>IF(OR(Table1[[#This Row],[marital_Married]]=1,Table1[[#This Row],[marital_Together]]=1),1,0)</f>
        <v>0</v>
      </c>
      <c r="AN89" t="str">
        <f>IF(Table1[[#This Row],[Income]]&gt;=70000,"HIGH INCOME","LOW INCOME")</f>
        <v>LOW INCOME</v>
      </c>
      <c r="AO89" s="1" t="str">
        <f>IF(Table1[[#This Row],[MNT_TOTAL]]&gt;=900,"HIGH VALUE","LOW VALUE")</f>
        <v>LOW VALUE</v>
      </c>
      <c r="AP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9" s="1"/>
      <c r="AR89" s="1"/>
    </row>
    <row r="90" spans="1:44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48</v>
      </c>
      <c r="X90">
        <v>2603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61</v>
      </c>
      <c r="AJ90">
        <v>59</v>
      </c>
      <c r="AK90">
        <v>0</v>
      </c>
      <c r="AL90">
        <f t="shared" si="1"/>
        <v>63</v>
      </c>
      <c r="AM90">
        <f>IF(OR(Table1[[#This Row],[marital_Married]]=1,Table1[[#This Row],[marital_Together]]=1),1,0)</f>
        <v>0</v>
      </c>
      <c r="AN90" t="str">
        <f>IF(Table1[[#This Row],[Income]]&gt;=70000,"HIGH INCOME","LOW INCOME")</f>
        <v>LOW INCOME</v>
      </c>
      <c r="AO90" s="1" t="str">
        <f>IF(Table1[[#This Row],[MNT_TOTAL]]&gt;=900,"HIGH VALUE","LOW VALUE")</f>
        <v>LOW VALUE</v>
      </c>
      <c r="AP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0" s="1"/>
      <c r="AR90" s="1"/>
    </row>
    <row r="91" spans="1:44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69</v>
      </c>
      <c r="X91">
        <v>2369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755</v>
      </c>
      <c r="AJ91">
        <v>532</v>
      </c>
      <c r="AK91">
        <v>1</v>
      </c>
      <c r="AL91">
        <f t="shared" si="1"/>
        <v>978</v>
      </c>
      <c r="AM91">
        <f>IF(OR(Table1[[#This Row],[marital_Married]]=1,Table1[[#This Row],[marital_Together]]=1),1,0)</f>
        <v>1</v>
      </c>
      <c r="AN91" t="str">
        <f>IF(Table1[[#This Row],[Income]]&gt;=70000,"HIGH INCOME","LOW INCOME")</f>
        <v>HIGH INCOME</v>
      </c>
      <c r="AO91" s="1" t="str">
        <f>IF(Table1[[#This Row],[MNT_TOTAL]]&gt;=900,"HIGH VALUE","LOW VALUE")</f>
        <v>HIGH VALUE</v>
      </c>
      <c r="AP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1" s="1"/>
      <c r="AR91" s="1"/>
    </row>
    <row r="92" spans="1:44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37</v>
      </c>
      <c r="X92">
        <v>2533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399</v>
      </c>
      <c r="AJ92">
        <v>388</v>
      </c>
      <c r="AK92">
        <v>0</v>
      </c>
      <c r="AL92">
        <f t="shared" si="1"/>
        <v>410</v>
      </c>
      <c r="AM92">
        <f>IF(OR(Table1[[#This Row],[marital_Married]]=1,Table1[[#This Row],[marital_Together]]=1),1,0)</f>
        <v>1</v>
      </c>
      <c r="AN92" t="str">
        <f>IF(Table1[[#This Row],[Income]]&gt;=70000,"HIGH INCOME","LOW INCOME")</f>
        <v>LOW INCOME</v>
      </c>
      <c r="AO92" s="1" t="str">
        <f>IF(Table1[[#This Row],[MNT_TOTAL]]&gt;=900,"HIGH VALUE","LOW VALUE")</f>
        <v>LOW VALUE</v>
      </c>
      <c r="AP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2" s="1"/>
      <c r="AR92" s="1"/>
    </row>
    <row r="93" spans="1:44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60</v>
      </c>
      <c r="X93">
        <v>2500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62</v>
      </c>
      <c r="AJ93">
        <v>52</v>
      </c>
      <c r="AK93">
        <v>0</v>
      </c>
      <c r="AL93">
        <f t="shared" si="1"/>
        <v>72</v>
      </c>
      <c r="AM93">
        <f>IF(OR(Table1[[#This Row],[marital_Married]]=1,Table1[[#This Row],[marital_Together]]=1),1,0)</f>
        <v>0</v>
      </c>
      <c r="AN93" t="str">
        <f>IF(Table1[[#This Row],[Income]]&gt;=70000,"HIGH INCOME","LOW INCOME")</f>
        <v>LOW INCOME</v>
      </c>
      <c r="AO93" s="1" t="str">
        <f>IF(Table1[[#This Row],[MNT_TOTAL]]&gt;=900,"HIGH VALUE","LOW VALUE")</f>
        <v>LOW VALUE</v>
      </c>
      <c r="AP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3" s="1"/>
      <c r="AR93" s="1"/>
    </row>
    <row r="94" spans="1:44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61</v>
      </c>
      <c r="X94">
        <v>2250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50</v>
      </c>
      <c r="AJ94">
        <v>45</v>
      </c>
      <c r="AK94">
        <v>0</v>
      </c>
      <c r="AL94">
        <f t="shared" si="1"/>
        <v>55</v>
      </c>
      <c r="AM94">
        <f>IF(OR(Table1[[#This Row],[marital_Married]]=1,Table1[[#This Row],[marital_Together]]=1),1,0)</f>
        <v>0</v>
      </c>
      <c r="AN94" t="str">
        <f>IF(Table1[[#This Row],[Income]]&gt;=70000,"HIGH INCOME","LOW INCOME")</f>
        <v>LOW INCOME</v>
      </c>
      <c r="AO94" s="1" t="str">
        <f>IF(Table1[[#This Row],[MNT_TOTAL]]&gt;=900,"HIGH VALUE","LOW VALUE")</f>
        <v>LOW VALUE</v>
      </c>
      <c r="AP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4" s="1"/>
      <c r="AR94" s="1"/>
    </row>
    <row r="95" spans="1:44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41</v>
      </c>
      <c r="X95">
        <v>2594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1058</v>
      </c>
      <c r="AJ95">
        <v>947</v>
      </c>
      <c r="AK95">
        <v>0</v>
      </c>
      <c r="AL95">
        <f t="shared" si="1"/>
        <v>1169</v>
      </c>
      <c r="AM95">
        <f>IF(OR(Table1[[#This Row],[marital_Married]]=1,Table1[[#This Row],[marital_Together]]=1),1,0)</f>
        <v>1</v>
      </c>
      <c r="AN95" t="str">
        <f>IF(Table1[[#This Row],[Income]]&gt;=70000,"HIGH INCOME","LOW INCOME")</f>
        <v>HIGH INCOME</v>
      </c>
      <c r="AO95" s="1" t="str">
        <f>IF(Table1[[#This Row],[MNT_TOTAL]]&gt;=900,"HIGH VALUE","LOW VALUE")</f>
        <v>HIGH VALUE</v>
      </c>
      <c r="AP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5" s="1"/>
      <c r="AR95" s="1"/>
    </row>
    <row r="96" spans="1:44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75</v>
      </c>
      <c r="X96">
        <v>2567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1039</v>
      </c>
      <c r="AJ96">
        <v>958</v>
      </c>
      <c r="AK96">
        <v>0</v>
      </c>
      <c r="AL96">
        <f t="shared" si="1"/>
        <v>1120</v>
      </c>
      <c r="AM96">
        <f>IF(OR(Table1[[#This Row],[marital_Married]]=1,Table1[[#This Row],[marital_Together]]=1),1,0)</f>
        <v>1</v>
      </c>
      <c r="AN96" t="str">
        <f>IF(Table1[[#This Row],[Income]]&gt;=70000,"HIGH INCOME","LOW INCOME")</f>
        <v>LOW INCOME</v>
      </c>
      <c r="AO96" s="1" t="str">
        <f>IF(Table1[[#This Row],[MNT_TOTAL]]&gt;=900,"HIGH VALUE","LOW VALUE")</f>
        <v>HIGH VALUE</v>
      </c>
      <c r="AP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" s="1"/>
      <c r="AR96" s="1"/>
    </row>
    <row r="97" spans="1:44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61</v>
      </c>
      <c r="X97">
        <v>2211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1059</v>
      </c>
      <c r="AJ97">
        <v>1021</v>
      </c>
      <c r="AK97">
        <v>0</v>
      </c>
      <c r="AL97">
        <f t="shared" si="1"/>
        <v>1097</v>
      </c>
      <c r="AM97">
        <f>IF(OR(Table1[[#This Row],[marital_Married]]=1,Table1[[#This Row],[marital_Together]]=1),1,0)</f>
        <v>1</v>
      </c>
      <c r="AN97" t="str">
        <f>IF(Table1[[#This Row],[Income]]&gt;=70000,"HIGH INCOME","LOW INCOME")</f>
        <v>HIGH INCOME</v>
      </c>
      <c r="AO97" s="1" t="str">
        <f>IF(Table1[[#This Row],[MNT_TOTAL]]&gt;=900,"HIGH VALUE","LOW VALUE")</f>
        <v>HIGH VALUE</v>
      </c>
      <c r="AP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7" s="1"/>
      <c r="AR97" s="1"/>
    </row>
    <row r="98" spans="1:44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41</v>
      </c>
      <c r="X98">
        <v>2360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20</v>
      </c>
      <c r="AJ98">
        <v>11</v>
      </c>
      <c r="AK98">
        <v>0</v>
      </c>
      <c r="AL98">
        <f t="shared" si="1"/>
        <v>29</v>
      </c>
      <c r="AM98">
        <f>IF(OR(Table1[[#This Row],[marital_Married]]=1,Table1[[#This Row],[marital_Together]]=1),1,0)</f>
        <v>1</v>
      </c>
      <c r="AN98" t="str">
        <f>IF(Table1[[#This Row],[Income]]&gt;=70000,"HIGH INCOME","LOW INCOME")</f>
        <v>LOW INCOME</v>
      </c>
      <c r="AO98" s="1" t="str">
        <f>IF(Table1[[#This Row],[MNT_TOTAL]]&gt;=900,"HIGH VALUE","LOW VALUE")</f>
        <v>LOW VALUE</v>
      </c>
      <c r="AP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8" s="1"/>
      <c r="AR98" s="1"/>
    </row>
    <row r="99" spans="1:44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56</v>
      </c>
      <c r="X99">
        <v>2437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180</v>
      </c>
      <c r="AJ99">
        <v>173</v>
      </c>
      <c r="AK99">
        <v>0</v>
      </c>
      <c r="AL99">
        <f t="shared" si="1"/>
        <v>187</v>
      </c>
      <c r="AM99">
        <f>IF(OR(Table1[[#This Row],[marital_Married]]=1,Table1[[#This Row],[marital_Together]]=1),1,0)</f>
        <v>1</v>
      </c>
      <c r="AN99" t="str">
        <f>IF(Table1[[#This Row],[Income]]&gt;=70000,"HIGH INCOME","LOW INCOME")</f>
        <v>LOW INCOME</v>
      </c>
      <c r="AO99" s="1" t="str">
        <f>IF(Table1[[#This Row],[MNT_TOTAL]]&gt;=900,"HIGH VALUE","LOW VALUE")</f>
        <v>LOW VALUE</v>
      </c>
      <c r="AP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" s="1"/>
      <c r="AR99" s="1"/>
    </row>
    <row r="100" spans="1:44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51</v>
      </c>
      <c r="X100">
        <v>2671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845</v>
      </c>
      <c r="AJ100">
        <v>780</v>
      </c>
      <c r="AK100">
        <v>0</v>
      </c>
      <c r="AL100">
        <f t="shared" si="1"/>
        <v>910</v>
      </c>
      <c r="AM100">
        <f>IF(OR(Table1[[#This Row],[marital_Married]]=1,Table1[[#This Row],[marital_Together]]=1),1,0)</f>
        <v>1</v>
      </c>
      <c r="AN100" t="str">
        <f>IF(Table1[[#This Row],[Income]]&gt;=70000,"HIGH INCOME","LOW INCOME")</f>
        <v>LOW INCOME</v>
      </c>
      <c r="AO100" s="1" t="str">
        <f>IF(Table1[[#This Row],[MNT_TOTAL]]&gt;=900,"HIGH VALUE","LOW VALUE")</f>
        <v>HIGH VALUE</v>
      </c>
      <c r="AP1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0" s="1"/>
      <c r="AR100" s="1"/>
    </row>
    <row r="101" spans="1:44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42</v>
      </c>
      <c r="X101">
        <v>2716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118</v>
      </c>
      <c r="AJ101">
        <v>91</v>
      </c>
      <c r="AK101">
        <v>0</v>
      </c>
      <c r="AL101">
        <f t="shared" si="1"/>
        <v>145</v>
      </c>
      <c r="AM101">
        <f>IF(OR(Table1[[#This Row],[marital_Married]]=1,Table1[[#This Row],[marital_Together]]=1),1,0)</f>
        <v>0</v>
      </c>
      <c r="AN101" t="str">
        <f>IF(Table1[[#This Row],[Income]]&gt;=70000,"HIGH INCOME","LOW INCOME")</f>
        <v>LOW INCOME</v>
      </c>
      <c r="AO101" s="1" t="str">
        <f>IF(Table1[[#This Row],[MNT_TOTAL]]&gt;=900,"HIGH VALUE","LOW VALUE")</f>
        <v>LOW VALUE</v>
      </c>
      <c r="AP1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" s="1"/>
      <c r="AR101" s="1"/>
    </row>
    <row r="102" spans="1:44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60</v>
      </c>
      <c r="X102">
        <v>2728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807</v>
      </c>
      <c r="AJ102">
        <v>764</v>
      </c>
      <c r="AK102">
        <v>0</v>
      </c>
      <c r="AL102">
        <f t="shared" si="1"/>
        <v>850</v>
      </c>
      <c r="AM102">
        <f>IF(OR(Table1[[#This Row],[marital_Married]]=1,Table1[[#This Row],[marital_Together]]=1),1,0)</f>
        <v>1</v>
      </c>
      <c r="AN102" t="str">
        <f>IF(Table1[[#This Row],[Income]]&gt;=70000,"HIGH INCOME","LOW INCOME")</f>
        <v>HIGH INCOME</v>
      </c>
      <c r="AO102" s="1" t="str">
        <f>IF(Table1[[#This Row],[MNT_TOTAL]]&gt;=900,"HIGH VALUE","LOW VALUE")</f>
        <v>LOW VALUE</v>
      </c>
      <c r="AP1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2" s="1"/>
      <c r="AR102" s="1"/>
    </row>
    <row r="103" spans="1:44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41</v>
      </c>
      <c r="X103">
        <v>2398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890</v>
      </c>
      <c r="AJ103">
        <v>811</v>
      </c>
      <c r="AK103">
        <v>0</v>
      </c>
      <c r="AL103">
        <f t="shared" si="1"/>
        <v>969</v>
      </c>
      <c r="AM103">
        <f>IF(OR(Table1[[#This Row],[marital_Married]]=1,Table1[[#This Row],[marital_Together]]=1),1,0)</f>
        <v>1</v>
      </c>
      <c r="AN103" t="str">
        <f>IF(Table1[[#This Row],[Income]]&gt;=70000,"HIGH INCOME","LOW INCOME")</f>
        <v>HIGH INCOME</v>
      </c>
      <c r="AO103" s="1" t="str">
        <f>IF(Table1[[#This Row],[MNT_TOTAL]]&gt;=900,"HIGH VALUE","LOW VALUE")</f>
        <v>HIGH VALUE</v>
      </c>
      <c r="AP1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3" s="1"/>
      <c r="AR103" s="1"/>
    </row>
    <row r="104" spans="1:44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29</v>
      </c>
      <c r="X104">
        <v>2755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1734</v>
      </c>
      <c r="AJ104">
        <v>1648</v>
      </c>
      <c r="AK104">
        <v>1</v>
      </c>
      <c r="AL104">
        <f t="shared" si="1"/>
        <v>1820</v>
      </c>
      <c r="AM104">
        <f>IF(OR(Table1[[#This Row],[marital_Married]]=1,Table1[[#This Row],[marital_Together]]=1),1,0)</f>
        <v>0</v>
      </c>
      <c r="AN104" t="str">
        <f>IF(Table1[[#This Row],[Income]]&gt;=70000,"HIGH INCOME","LOW INCOME")</f>
        <v>LOW INCOME</v>
      </c>
      <c r="AO104" s="1" t="str">
        <f>IF(Table1[[#This Row],[MNT_TOTAL]]&gt;=900,"HIGH VALUE","LOW VALUE")</f>
        <v>HIGH VALUE</v>
      </c>
      <c r="AP1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" s="1"/>
      <c r="AR104" s="1"/>
    </row>
    <row r="105" spans="1:44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57</v>
      </c>
      <c r="X105">
        <v>2163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548</v>
      </c>
      <c r="AJ105">
        <v>488</v>
      </c>
      <c r="AK105">
        <v>1</v>
      </c>
      <c r="AL105">
        <f t="shared" si="1"/>
        <v>608</v>
      </c>
      <c r="AM105">
        <f>IF(OR(Table1[[#This Row],[marital_Married]]=1,Table1[[#This Row],[marital_Together]]=1),1,0)</f>
        <v>1</v>
      </c>
      <c r="AN105" t="str">
        <f>IF(Table1[[#This Row],[Income]]&gt;=70000,"HIGH INCOME","LOW INCOME")</f>
        <v>LOW INCOME</v>
      </c>
      <c r="AO105" s="1" t="str">
        <f>IF(Table1[[#This Row],[MNT_TOTAL]]&gt;=900,"HIGH VALUE","LOW VALUE")</f>
        <v>LOW VALUE</v>
      </c>
      <c r="AP1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" s="1"/>
      <c r="AR105" s="1"/>
    </row>
    <row r="106" spans="1:44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29</v>
      </c>
      <c r="X106">
        <v>2702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708</v>
      </c>
      <c r="AJ106">
        <v>686</v>
      </c>
      <c r="AK106">
        <v>2</v>
      </c>
      <c r="AL106">
        <f t="shared" si="1"/>
        <v>730</v>
      </c>
      <c r="AM106">
        <f>IF(OR(Table1[[#This Row],[marital_Married]]=1,Table1[[#This Row],[marital_Together]]=1),1,0)</f>
        <v>0</v>
      </c>
      <c r="AN106" t="str">
        <f>IF(Table1[[#This Row],[Income]]&gt;=70000,"HIGH INCOME","LOW INCOME")</f>
        <v>HIGH INCOME</v>
      </c>
      <c r="AO106" s="1" t="str">
        <f>IF(Table1[[#This Row],[MNT_TOTAL]]&gt;=900,"HIGH VALUE","LOW VALUE")</f>
        <v>LOW VALUE</v>
      </c>
      <c r="AP1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" s="1"/>
      <c r="AR106" s="1"/>
    </row>
    <row r="107" spans="1:44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40</v>
      </c>
      <c r="X107">
        <v>2723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479</v>
      </c>
      <c r="AJ107">
        <v>407</v>
      </c>
      <c r="AK107">
        <v>0</v>
      </c>
      <c r="AL107">
        <f t="shared" si="1"/>
        <v>551</v>
      </c>
      <c r="AM107">
        <f>IF(OR(Table1[[#This Row],[marital_Married]]=1,Table1[[#This Row],[marital_Together]]=1),1,0)</f>
        <v>1</v>
      </c>
      <c r="AN107" t="str">
        <f>IF(Table1[[#This Row],[Income]]&gt;=70000,"HIGH INCOME","LOW INCOME")</f>
        <v>LOW INCOME</v>
      </c>
      <c r="AO107" s="1" t="str">
        <f>IF(Table1[[#This Row],[MNT_TOTAL]]&gt;=900,"HIGH VALUE","LOW VALUE")</f>
        <v>LOW VALUE</v>
      </c>
      <c r="AP1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7" s="1"/>
      <c r="AR107" s="1"/>
    </row>
    <row r="108" spans="1:44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58</v>
      </c>
      <c r="X108">
        <v>2451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87</v>
      </c>
      <c r="AJ108">
        <v>60</v>
      </c>
      <c r="AK108">
        <v>0</v>
      </c>
      <c r="AL108">
        <f t="shared" si="1"/>
        <v>114</v>
      </c>
      <c r="AM108">
        <f>IF(OR(Table1[[#This Row],[marital_Married]]=1,Table1[[#This Row],[marital_Together]]=1),1,0)</f>
        <v>0</v>
      </c>
      <c r="AN108" t="str">
        <f>IF(Table1[[#This Row],[Income]]&gt;=70000,"HIGH INCOME","LOW INCOME")</f>
        <v>LOW INCOME</v>
      </c>
      <c r="AO108" s="1" t="str">
        <f>IF(Table1[[#This Row],[MNT_TOTAL]]&gt;=900,"HIGH VALUE","LOW VALUE")</f>
        <v>LOW VALUE</v>
      </c>
      <c r="AP1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8" s="1"/>
      <c r="AR108" s="1"/>
    </row>
    <row r="109" spans="1:44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50</v>
      </c>
      <c r="X109">
        <v>2315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1691</v>
      </c>
      <c r="AJ109">
        <v>1658</v>
      </c>
      <c r="AK109">
        <v>2</v>
      </c>
      <c r="AL109">
        <f t="shared" si="1"/>
        <v>1724</v>
      </c>
      <c r="AM109">
        <f>IF(OR(Table1[[#This Row],[marital_Married]]=1,Table1[[#This Row],[marital_Together]]=1),1,0)</f>
        <v>1</v>
      </c>
      <c r="AN109" t="str">
        <f>IF(Table1[[#This Row],[Income]]&gt;=70000,"HIGH INCOME","LOW INCOME")</f>
        <v>HIGH INCOME</v>
      </c>
      <c r="AO109" s="1" t="str">
        <f>IF(Table1[[#This Row],[MNT_TOTAL]]&gt;=900,"HIGH VALUE","LOW VALUE")</f>
        <v>HIGH VALUE</v>
      </c>
      <c r="AP1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9" s="1"/>
      <c r="AR109" s="1"/>
    </row>
    <row r="110" spans="1:44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42</v>
      </c>
      <c r="X110">
        <v>2654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457</v>
      </c>
      <c r="AJ110">
        <v>337</v>
      </c>
      <c r="AK110">
        <v>0</v>
      </c>
      <c r="AL110">
        <f t="shared" si="1"/>
        <v>577</v>
      </c>
      <c r="AM110">
        <f>IF(OR(Table1[[#This Row],[marital_Married]]=1,Table1[[#This Row],[marital_Together]]=1),1,0)</f>
        <v>1</v>
      </c>
      <c r="AN110" t="str">
        <f>IF(Table1[[#This Row],[Income]]&gt;=70000,"HIGH INCOME","LOW INCOME")</f>
        <v>LOW INCOME</v>
      </c>
      <c r="AO110" s="1" t="str">
        <f>IF(Table1[[#This Row],[MNT_TOTAL]]&gt;=900,"HIGH VALUE","LOW VALUE")</f>
        <v>LOW VALUE</v>
      </c>
      <c r="AP1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" s="1"/>
      <c r="AR110" s="1"/>
    </row>
    <row r="111" spans="1:44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53</v>
      </c>
      <c r="X111">
        <v>2512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51</v>
      </c>
      <c r="AJ111">
        <v>21</v>
      </c>
      <c r="AK111">
        <v>0</v>
      </c>
      <c r="AL111">
        <f t="shared" si="1"/>
        <v>81</v>
      </c>
      <c r="AM111">
        <f>IF(OR(Table1[[#This Row],[marital_Married]]=1,Table1[[#This Row],[marital_Together]]=1),1,0)</f>
        <v>1</v>
      </c>
      <c r="AN111" t="str">
        <f>IF(Table1[[#This Row],[Income]]&gt;=70000,"HIGH INCOME","LOW INCOME")</f>
        <v>LOW INCOME</v>
      </c>
      <c r="AO111" s="1" t="str">
        <f>IF(Table1[[#This Row],[MNT_TOTAL]]&gt;=900,"HIGH VALUE","LOW VALUE")</f>
        <v>LOW VALUE</v>
      </c>
      <c r="AP1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1" s="1"/>
      <c r="AR111" s="1"/>
    </row>
    <row r="112" spans="1:44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51</v>
      </c>
      <c r="X112">
        <v>2386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30</v>
      </c>
      <c r="AJ112">
        <v>27</v>
      </c>
      <c r="AK112">
        <v>0</v>
      </c>
      <c r="AL112">
        <f t="shared" si="1"/>
        <v>33</v>
      </c>
      <c r="AM112">
        <f>IF(OR(Table1[[#This Row],[marital_Married]]=1,Table1[[#This Row],[marital_Together]]=1),1,0)</f>
        <v>1</v>
      </c>
      <c r="AN112" t="str">
        <f>IF(Table1[[#This Row],[Income]]&gt;=70000,"HIGH INCOME","LOW INCOME")</f>
        <v>LOW INCOME</v>
      </c>
      <c r="AO112" s="1" t="str">
        <f>IF(Table1[[#This Row],[MNT_TOTAL]]&gt;=900,"HIGH VALUE","LOW VALUE")</f>
        <v>LOW VALUE</v>
      </c>
      <c r="AP1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" s="1"/>
      <c r="AR112" s="1"/>
    </row>
    <row r="113" spans="1:44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67</v>
      </c>
      <c r="X113">
        <v>2533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612</v>
      </c>
      <c r="AJ113">
        <v>564</v>
      </c>
      <c r="AK113">
        <v>0</v>
      </c>
      <c r="AL113">
        <f t="shared" si="1"/>
        <v>660</v>
      </c>
      <c r="AM113">
        <f>IF(OR(Table1[[#This Row],[marital_Married]]=1,Table1[[#This Row],[marital_Together]]=1),1,0)</f>
        <v>1</v>
      </c>
      <c r="AN113" t="str">
        <f>IF(Table1[[#This Row],[Income]]&gt;=70000,"HIGH INCOME","LOW INCOME")</f>
        <v>LOW INCOME</v>
      </c>
      <c r="AO113" s="1" t="str">
        <f>IF(Table1[[#This Row],[MNT_TOTAL]]&gt;=900,"HIGH VALUE","LOW VALUE")</f>
        <v>LOW VALUE</v>
      </c>
      <c r="AP1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3" s="1"/>
      <c r="AR113" s="1"/>
    </row>
    <row r="114" spans="1:44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53</v>
      </c>
      <c r="X114">
        <v>2284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70</v>
      </c>
      <c r="AJ114">
        <v>60</v>
      </c>
      <c r="AK114">
        <v>0</v>
      </c>
      <c r="AL114">
        <f t="shared" si="1"/>
        <v>80</v>
      </c>
      <c r="AM114">
        <f>IF(OR(Table1[[#This Row],[marital_Married]]=1,Table1[[#This Row],[marital_Together]]=1),1,0)</f>
        <v>0</v>
      </c>
      <c r="AN114" t="str">
        <f>IF(Table1[[#This Row],[Income]]&gt;=70000,"HIGH INCOME","LOW INCOME")</f>
        <v>LOW INCOME</v>
      </c>
      <c r="AO114" s="1" t="str">
        <f>IF(Table1[[#This Row],[MNT_TOTAL]]&gt;=900,"HIGH VALUE","LOW VALUE")</f>
        <v>LOW VALUE</v>
      </c>
      <c r="AP1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4" s="1"/>
      <c r="AR114" s="1"/>
    </row>
    <row r="115" spans="1:44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35</v>
      </c>
      <c r="X115">
        <v>2457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23</v>
      </c>
      <c r="AJ115">
        <v>16</v>
      </c>
      <c r="AK115">
        <v>0</v>
      </c>
      <c r="AL115">
        <f t="shared" si="1"/>
        <v>30</v>
      </c>
      <c r="AM115">
        <f>IF(OR(Table1[[#This Row],[marital_Married]]=1,Table1[[#This Row],[marital_Together]]=1),1,0)</f>
        <v>1</v>
      </c>
      <c r="AN115" t="str">
        <f>IF(Table1[[#This Row],[Income]]&gt;=70000,"HIGH INCOME","LOW INCOME")</f>
        <v>LOW INCOME</v>
      </c>
      <c r="AO115" s="1" t="str">
        <f>IF(Table1[[#This Row],[MNT_TOTAL]]&gt;=900,"HIGH VALUE","LOW VALUE")</f>
        <v>LOW VALUE</v>
      </c>
      <c r="AP1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" s="1"/>
      <c r="AR115" s="1"/>
    </row>
    <row r="116" spans="1:44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44</v>
      </c>
      <c r="X116">
        <v>2592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41</v>
      </c>
      <c r="AJ116">
        <v>39</v>
      </c>
      <c r="AK116">
        <v>0</v>
      </c>
      <c r="AL116">
        <f t="shared" si="1"/>
        <v>43</v>
      </c>
      <c r="AM116">
        <f>IF(OR(Table1[[#This Row],[marital_Married]]=1,Table1[[#This Row],[marital_Together]]=1),1,0)</f>
        <v>0</v>
      </c>
      <c r="AN116" t="str">
        <f>IF(Table1[[#This Row],[Income]]&gt;=70000,"HIGH INCOME","LOW INCOME")</f>
        <v>LOW INCOME</v>
      </c>
      <c r="AO116" s="1" t="str">
        <f>IF(Table1[[#This Row],[MNT_TOTAL]]&gt;=900,"HIGH VALUE","LOW VALUE")</f>
        <v>LOW VALUE</v>
      </c>
      <c r="AP1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" s="1"/>
      <c r="AR116" s="1"/>
    </row>
    <row r="117" spans="1:44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37</v>
      </c>
      <c r="X117">
        <v>2633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967</v>
      </c>
      <c r="AJ117">
        <v>799</v>
      </c>
      <c r="AK117">
        <v>3</v>
      </c>
      <c r="AL117">
        <f t="shared" si="1"/>
        <v>1135</v>
      </c>
      <c r="AM117">
        <f>IF(OR(Table1[[#This Row],[marital_Married]]=1,Table1[[#This Row],[marital_Together]]=1),1,0)</f>
        <v>0</v>
      </c>
      <c r="AN117" t="str">
        <f>IF(Table1[[#This Row],[Income]]&gt;=70000,"HIGH INCOME","LOW INCOME")</f>
        <v>HIGH INCOME</v>
      </c>
      <c r="AO117" s="1" t="str">
        <f>IF(Table1[[#This Row],[MNT_TOTAL]]&gt;=900,"HIGH VALUE","LOW VALUE")</f>
        <v>HIGH VALUE</v>
      </c>
      <c r="AP1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7" s="1"/>
      <c r="AR117" s="1"/>
    </row>
    <row r="118" spans="1:44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55</v>
      </c>
      <c r="X118">
        <v>2655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387</v>
      </c>
      <c r="AJ118">
        <v>215</v>
      </c>
      <c r="AK118">
        <v>0</v>
      </c>
      <c r="AL118">
        <f t="shared" si="1"/>
        <v>559</v>
      </c>
      <c r="AM118">
        <f>IF(OR(Table1[[#This Row],[marital_Married]]=1,Table1[[#This Row],[marital_Together]]=1),1,0)</f>
        <v>1</v>
      </c>
      <c r="AN118" t="str">
        <f>IF(Table1[[#This Row],[Income]]&gt;=70000,"HIGH INCOME","LOW INCOME")</f>
        <v>HIGH INCOME</v>
      </c>
      <c r="AO118" s="1" t="str">
        <f>IF(Table1[[#This Row],[MNT_TOTAL]]&gt;=900,"HIGH VALUE","LOW VALUE")</f>
        <v>LOW VALUE</v>
      </c>
      <c r="AP1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8" s="1"/>
      <c r="AR118" s="1"/>
    </row>
    <row r="119" spans="1:44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36</v>
      </c>
      <c r="X119">
        <v>2593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1707</v>
      </c>
      <c r="AJ119">
        <v>1491</v>
      </c>
      <c r="AK119">
        <v>0</v>
      </c>
      <c r="AL119">
        <f t="shared" si="1"/>
        <v>1923</v>
      </c>
      <c r="AM119">
        <f>IF(OR(Table1[[#This Row],[marital_Married]]=1,Table1[[#This Row],[marital_Together]]=1),1,0)</f>
        <v>0</v>
      </c>
      <c r="AN119" t="str">
        <f>IF(Table1[[#This Row],[Income]]&gt;=70000,"HIGH INCOME","LOW INCOME")</f>
        <v>HIGH INCOME</v>
      </c>
      <c r="AO119" s="1" t="str">
        <f>IF(Table1[[#This Row],[MNT_TOTAL]]&gt;=900,"HIGH VALUE","LOW VALUE")</f>
        <v>HIGH VALUE</v>
      </c>
      <c r="AP1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9" s="1"/>
      <c r="AR119" s="1"/>
    </row>
    <row r="120" spans="1:44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67</v>
      </c>
      <c r="X120">
        <v>2180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86</v>
      </c>
      <c r="AJ120">
        <v>82</v>
      </c>
      <c r="AK120">
        <v>0</v>
      </c>
      <c r="AL120">
        <f t="shared" si="1"/>
        <v>90</v>
      </c>
      <c r="AM120">
        <f>IF(OR(Table1[[#This Row],[marital_Married]]=1,Table1[[#This Row],[marital_Together]]=1),1,0)</f>
        <v>1</v>
      </c>
      <c r="AN120" t="str">
        <f>IF(Table1[[#This Row],[Income]]&gt;=70000,"HIGH INCOME","LOW INCOME")</f>
        <v>LOW INCOME</v>
      </c>
      <c r="AO120" s="1" t="str">
        <f>IF(Table1[[#This Row],[MNT_TOTAL]]&gt;=900,"HIGH VALUE","LOW VALUE")</f>
        <v>LOW VALUE</v>
      </c>
      <c r="AP1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0" s="1"/>
      <c r="AR120" s="1"/>
    </row>
    <row r="121" spans="1:44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64</v>
      </c>
      <c r="X121">
        <v>2209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649</v>
      </c>
      <c r="AJ121">
        <v>637</v>
      </c>
      <c r="AK121">
        <v>0</v>
      </c>
      <c r="AL121">
        <f t="shared" si="1"/>
        <v>661</v>
      </c>
      <c r="AM121">
        <f>IF(OR(Table1[[#This Row],[marital_Married]]=1,Table1[[#This Row],[marital_Together]]=1),1,0)</f>
        <v>1</v>
      </c>
      <c r="AN121" t="str">
        <f>IF(Table1[[#This Row],[Income]]&gt;=70000,"HIGH INCOME","LOW INCOME")</f>
        <v>HIGH INCOME</v>
      </c>
      <c r="AO121" s="1" t="str">
        <f>IF(Table1[[#This Row],[MNT_TOTAL]]&gt;=900,"HIGH VALUE","LOW VALUE")</f>
        <v>LOW VALUE</v>
      </c>
      <c r="AP1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1" s="1"/>
      <c r="AR121" s="1"/>
    </row>
    <row r="122" spans="1:44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68</v>
      </c>
      <c r="X122">
        <v>2431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405</v>
      </c>
      <c r="AJ122">
        <v>347</v>
      </c>
      <c r="AK122">
        <v>0</v>
      </c>
      <c r="AL122">
        <f t="shared" si="1"/>
        <v>463</v>
      </c>
      <c r="AM122">
        <f>IF(OR(Table1[[#This Row],[marital_Married]]=1,Table1[[#This Row],[marital_Together]]=1),1,0)</f>
        <v>1</v>
      </c>
      <c r="AN122" t="str">
        <f>IF(Table1[[#This Row],[Income]]&gt;=70000,"HIGH INCOME","LOW INCOME")</f>
        <v>LOW INCOME</v>
      </c>
      <c r="AO122" s="1" t="str">
        <f>IF(Table1[[#This Row],[MNT_TOTAL]]&gt;=900,"HIGH VALUE","LOW VALUE")</f>
        <v>LOW VALUE</v>
      </c>
      <c r="AP1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" s="1"/>
      <c r="AR122" s="1"/>
    </row>
    <row r="123" spans="1:44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62</v>
      </c>
      <c r="X123">
        <v>2635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591</v>
      </c>
      <c r="AJ123">
        <v>550</v>
      </c>
      <c r="AK123">
        <v>0</v>
      </c>
      <c r="AL123">
        <f t="shared" si="1"/>
        <v>632</v>
      </c>
      <c r="AM123">
        <f>IF(OR(Table1[[#This Row],[marital_Married]]=1,Table1[[#This Row],[marital_Together]]=1),1,0)</f>
        <v>0</v>
      </c>
      <c r="AN123" t="str">
        <f>IF(Table1[[#This Row],[Income]]&gt;=70000,"HIGH INCOME","LOW INCOME")</f>
        <v>LOW INCOME</v>
      </c>
      <c r="AO123" s="1" t="str">
        <f>IF(Table1[[#This Row],[MNT_TOTAL]]&gt;=900,"HIGH VALUE","LOW VALUE")</f>
        <v>LOW VALUE</v>
      </c>
      <c r="AP1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" s="1"/>
      <c r="AR123" s="1"/>
    </row>
    <row r="124" spans="1:44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51</v>
      </c>
      <c r="X124">
        <v>2298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595</v>
      </c>
      <c r="AJ124">
        <v>465</v>
      </c>
      <c r="AK124">
        <v>0</v>
      </c>
      <c r="AL124">
        <f t="shared" si="1"/>
        <v>725</v>
      </c>
      <c r="AM124">
        <f>IF(OR(Table1[[#This Row],[marital_Married]]=1,Table1[[#This Row],[marital_Together]]=1),1,0)</f>
        <v>1</v>
      </c>
      <c r="AN124" t="str">
        <f>IF(Table1[[#This Row],[Income]]&gt;=70000,"HIGH INCOME","LOW INCOME")</f>
        <v>HIGH INCOME</v>
      </c>
      <c r="AO124" s="1" t="str">
        <f>IF(Table1[[#This Row],[MNT_TOTAL]]&gt;=900,"HIGH VALUE","LOW VALUE")</f>
        <v>LOW VALUE</v>
      </c>
      <c r="AP1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4" s="1"/>
      <c r="AR124" s="1"/>
    </row>
    <row r="125" spans="1:44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56</v>
      </c>
      <c r="X125">
        <v>2478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256</v>
      </c>
      <c r="AJ125">
        <v>233</v>
      </c>
      <c r="AK125">
        <v>0</v>
      </c>
      <c r="AL125">
        <f t="shared" si="1"/>
        <v>279</v>
      </c>
      <c r="AM125">
        <f>IF(OR(Table1[[#This Row],[marital_Married]]=1,Table1[[#This Row],[marital_Together]]=1),1,0)</f>
        <v>1</v>
      </c>
      <c r="AN125" t="str">
        <f>IF(Table1[[#This Row],[Income]]&gt;=70000,"HIGH INCOME","LOW INCOME")</f>
        <v>LOW INCOME</v>
      </c>
      <c r="AO125" s="1" t="str">
        <f>IF(Table1[[#This Row],[MNT_TOTAL]]&gt;=900,"HIGH VALUE","LOW VALUE")</f>
        <v>LOW VALUE</v>
      </c>
      <c r="AP1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5" s="1"/>
      <c r="AR125" s="1"/>
    </row>
    <row r="126" spans="1:44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53</v>
      </c>
      <c r="X126">
        <v>2628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1482</v>
      </c>
      <c r="AJ126">
        <v>1482</v>
      </c>
      <c r="AK126">
        <v>1</v>
      </c>
      <c r="AL126">
        <f t="shared" si="1"/>
        <v>1482</v>
      </c>
      <c r="AM126">
        <f>IF(OR(Table1[[#This Row],[marital_Married]]=1,Table1[[#This Row],[marital_Together]]=1),1,0)</f>
        <v>1</v>
      </c>
      <c r="AN126" t="str">
        <f>IF(Table1[[#This Row],[Income]]&gt;=70000,"HIGH INCOME","LOW INCOME")</f>
        <v>LOW INCOME</v>
      </c>
      <c r="AO126" s="1" t="str">
        <f>IF(Table1[[#This Row],[MNT_TOTAL]]&gt;=900,"HIGH VALUE","LOW VALUE")</f>
        <v>HIGH VALUE</v>
      </c>
      <c r="AP1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6" s="1"/>
      <c r="AR126" s="1"/>
    </row>
    <row r="127" spans="1:44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44</v>
      </c>
      <c r="X127">
        <v>2849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20</v>
      </c>
      <c r="AJ127">
        <v>11</v>
      </c>
      <c r="AK127">
        <v>0</v>
      </c>
      <c r="AL127">
        <f t="shared" si="1"/>
        <v>29</v>
      </c>
      <c r="AM127">
        <f>IF(OR(Table1[[#This Row],[marital_Married]]=1,Table1[[#This Row],[marital_Together]]=1),1,0)</f>
        <v>0</v>
      </c>
      <c r="AN127" t="str">
        <f>IF(Table1[[#This Row],[Income]]&gt;=70000,"HIGH INCOME","LOW INCOME")</f>
        <v>LOW INCOME</v>
      </c>
      <c r="AO127" s="1" t="str">
        <f>IF(Table1[[#This Row],[MNT_TOTAL]]&gt;=900,"HIGH VALUE","LOW VALUE")</f>
        <v>LOW VALUE</v>
      </c>
      <c r="AP1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7" s="1"/>
      <c r="AR127" s="1"/>
    </row>
    <row r="128" spans="1:44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61</v>
      </c>
      <c r="X128">
        <v>2516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90</v>
      </c>
      <c r="AJ128">
        <v>74</v>
      </c>
      <c r="AK128">
        <v>0</v>
      </c>
      <c r="AL128">
        <f t="shared" si="1"/>
        <v>106</v>
      </c>
      <c r="AM128">
        <f>IF(OR(Table1[[#This Row],[marital_Married]]=1,Table1[[#This Row],[marital_Together]]=1),1,0)</f>
        <v>1</v>
      </c>
      <c r="AN128" t="str">
        <f>IF(Table1[[#This Row],[Income]]&gt;=70000,"HIGH INCOME","LOW INCOME")</f>
        <v>LOW INCOME</v>
      </c>
      <c r="AO128" s="1" t="str">
        <f>IF(Table1[[#This Row],[MNT_TOTAL]]&gt;=900,"HIGH VALUE","LOW VALUE")</f>
        <v>LOW VALUE</v>
      </c>
      <c r="AP1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8" s="1"/>
      <c r="AR128" s="1"/>
    </row>
    <row r="129" spans="1:44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47</v>
      </c>
      <c r="X129">
        <v>2200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29</v>
      </c>
      <c r="AJ129">
        <v>9</v>
      </c>
      <c r="AK129">
        <v>1</v>
      </c>
      <c r="AL129">
        <f t="shared" si="1"/>
        <v>49</v>
      </c>
      <c r="AM129">
        <f>IF(OR(Table1[[#This Row],[marital_Married]]=1,Table1[[#This Row],[marital_Together]]=1),1,0)</f>
        <v>0</v>
      </c>
      <c r="AN129" t="str">
        <f>IF(Table1[[#This Row],[Income]]&gt;=70000,"HIGH INCOME","LOW INCOME")</f>
        <v>LOW INCOME</v>
      </c>
      <c r="AO129" s="1" t="str">
        <f>IF(Table1[[#This Row],[MNT_TOTAL]]&gt;=900,"HIGH VALUE","LOW VALUE")</f>
        <v>LOW VALUE</v>
      </c>
      <c r="AP1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9" s="1"/>
      <c r="AR129" s="1"/>
    </row>
    <row r="130" spans="1:44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55</v>
      </c>
      <c r="X130">
        <v>2495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34</v>
      </c>
      <c r="AJ130">
        <v>30</v>
      </c>
      <c r="AK130">
        <v>0</v>
      </c>
      <c r="AL130">
        <f t="shared" ref="AL130:AL193" si="2">SUM(E130:J130)</f>
        <v>38</v>
      </c>
      <c r="AM130">
        <f>IF(OR(Table1[[#This Row],[marital_Married]]=1,Table1[[#This Row],[marital_Together]]=1),1,0)</f>
        <v>0</v>
      </c>
      <c r="AN130" t="str">
        <f>IF(Table1[[#This Row],[Income]]&gt;=70000,"HIGH INCOME","LOW INCOME")</f>
        <v>LOW INCOME</v>
      </c>
      <c r="AO130" s="1" t="str">
        <f>IF(Table1[[#This Row],[MNT_TOTAL]]&gt;=900,"HIGH VALUE","LOW VALUE")</f>
        <v>LOW VALUE</v>
      </c>
      <c r="AP1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0" s="1"/>
      <c r="AR130" s="1"/>
    </row>
    <row r="131" spans="1:44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2777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2057</v>
      </c>
      <c r="AJ131">
        <v>2037</v>
      </c>
      <c r="AK131">
        <v>0</v>
      </c>
      <c r="AL131">
        <f t="shared" si="2"/>
        <v>2077</v>
      </c>
      <c r="AM131">
        <f>IF(OR(Table1[[#This Row],[marital_Married]]=1,Table1[[#This Row],[marital_Together]]=1),1,0)</f>
        <v>0</v>
      </c>
      <c r="AN131" t="str">
        <f>IF(Table1[[#This Row],[Income]]&gt;=70000,"HIGH INCOME","LOW INCOME")</f>
        <v>HIGH INCOME</v>
      </c>
      <c r="AO131" s="1" t="str">
        <f>IF(Table1[[#This Row],[MNT_TOTAL]]&gt;=900,"HIGH VALUE","LOW VALUE")</f>
        <v>HIGH VALUE</v>
      </c>
      <c r="AP1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1" s="1"/>
      <c r="AR131" s="1"/>
    </row>
    <row r="132" spans="1:44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44</v>
      </c>
      <c r="X132">
        <v>2386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1003</v>
      </c>
      <c r="AJ132">
        <v>953</v>
      </c>
      <c r="AK132">
        <v>0</v>
      </c>
      <c r="AL132">
        <f t="shared" si="2"/>
        <v>1053</v>
      </c>
      <c r="AM132">
        <f>IF(OR(Table1[[#This Row],[marital_Married]]=1,Table1[[#This Row],[marital_Together]]=1),1,0)</f>
        <v>1</v>
      </c>
      <c r="AN132" t="str">
        <f>IF(Table1[[#This Row],[Income]]&gt;=70000,"HIGH INCOME","LOW INCOME")</f>
        <v>LOW INCOME</v>
      </c>
      <c r="AO132" s="1" t="str">
        <f>IF(Table1[[#This Row],[MNT_TOTAL]]&gt;=900,"HIGH VALUE","LOW VALUE")</f>
        <v>HIGH VALUE</v>
      </c>
      <c r="AP1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2" s="1"/>
      <c r="AR132" s="1"/>
    </row>
    <row r="133" spans="1:44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58</v>
      </c>
      <c r="X133">
        <v>2595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1259</v>
      </c>
      <c r="AJ133">
        <v>1133</v>
      </c>
      <c r="AK133">
        <v>0</v>
      </c>
      <c r="AL133">
        <f t="shared" si="2"/>
        <v>1385</v>
      </c>
      <c r="AM133">
        <f>IF(OR(Table1[[#This Row],[marital_Married]]=1,Table1[[#This Row],[marital_Together]]=1),1,0)</f>
        <v>1</v>
      </c>
      <c r="AN133" t="str">
        <f>IF(Table1[[#This Row],[Income]]&gt;=70000,"HIGH INCOME","LOW INCOME")</f>
        <v>HIGH INCOME</v>
      </c>
      <c r="AO133" s="1" t="str">
        <f>IF(Table1[[#This Row],[MNT_TOTAL]]&gt;=900,"HIGH VALUE","LOW VALUE")</f>
        <v>HIGH VALUE</v>
      </c>
      <c r="AP1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3" s="1"/>
      <c r="AR133" s="1"/>
    </row>
    <row r="134" spans="1:44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46</v>
      </c>
      <c r="X134">
        <v>2464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838</v>
      </c>
      <c r="AJ134">
        <v>805</v>
      </c>
      <c r="AK134">
        <v>0</v>
      </c>
      <c r="AL134">
        <f t="shared" si="2"/>
        <v>871</v>
      </c>
      <c r="AM134">
        <f>IF(OR(Table1[[#This Row],[marital_Married]]=1,Table1[[#This Row],[marital_Together]]=1),1,0)</f>
        <v>0</v>
      </c>
      <c r="AN134" t="str">
        <f>IF(Table1[[#This Row],[Income]]&gt;=70000,"HIGH INCOME","LOW INCOME")</f>
        <v>LOW INCOME</v>
      </c>
      <c r="AO134" s="1" t="str">
        <f>IF(Table1[[#This Row],[MNT_TOTAL]]&gt;=900,"HIGH VALUE","LOW VALUE")</f>
        <v>LOW VALUE</v>
      </c>
      <c r="AP1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" s="1"/>
      <c r="AR134" s="1"/>
    </row>
    <row r="135" spans="1:44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32</v>
      </c>
      <c r="X135">
        <v>2626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196</v>
      </c>
      <c r="AJ135">
        <v>80</v>
      </c>
      <c r="AK135">
        <v>0</v>
      </c>
      <c r="AL135">
        <f t="shared" si="2"/>
        <v>312</v>
      </c>
      <c r="AM135">
        <f>IF(OR(Table1[[#This Row],[marital_Married]]=1,Table1[[#This Row],[marital_Together]]=1),1,0)</f>
        <v>1</v>
      </c>
      <c r="AN135" t="str">
        <f>IF(Table1[[#This Row],[Income]]&gt;=70000,"HIGH INCOME","LOW INCOME")</f>
        <v>LOW INCOME</v>
      </c>
      <c r="AO135" s="1" t="str">
        <f>IF(Table1[[#This Row],[MNT_TOTAL]]&gt;=900,"HIGH VALUE","LOW VALUE")</f>
        <v>LOW VALUE</v>
      </c>
      <c r="AP1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5" s="1"/>
      <c r="AR135" s="1"/>
    </row>
    <row r="136" spans="1:44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44</v>
      </c>
      <c r="X136">
        <v>2778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828</v>
      </c>
      <c r="AJ136">
        <v>779</v>
      </c>
      <c r="AK136">
        <v>0</v>
      </c>
      <c r="AL136">
        <f t="shared" si="2"/>
        <v>877</v>
      </c>
      <c r="AM136">
        <f>IF(OR(Table1[[#This Row],[marital_Married]]=1,Table1[[#This Row],[marital_Together]]=1),1,0)</f>
        <v>1</v>
      </c>
      <c r="AN136" t="str">
        <f>IF(Table1[[#This Row],[Income]]&gt;=70000,"HIGH INCOME","LOW INCOME")</f>
        <v>LOW INCOME</v>
      </c>
      <c r="AO136" s="1" t="str">
        <f>IF(Table1[[#This Row],[MNT_TOTAL]]&gt;=900,"HIGH VALUE","LOW VALUE")</f>
        <v>LOW VALUE</v>
      </c>
      <c r="AP1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" s="1"/>
      <c r="AR136" s="1"/>
    </row>
    <row r="137" spans="1:44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45</v>
      </c>
      <c r="X137">
        <v>2768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52</v>
      </c>
      <c r="AJ137">
        <v>36</v>
      </c>
      <c r="AK137">
        <v>0</v>
      </c>
      <c r="AL137">
        <f t="shared" si="2"/>
        <v>68</v>
      </c>
      <c r="AM137">
        <f>IF(OR(Table1[[#This Row],[marital_Married]]=1,Table1[[#This Row],[marital_Together]]=1),1,0)</f>
        <v>1</v>
      </c>
      <c r="AN137" t="str">
        <f>IF(Table1[[#This Row],[Income]]&gt;=70000,"HIGH INCOME","LOW INCOME")</f>
        <v>LOW INCOME</v>
      </c>
      <c r="AO137" s="1" t="str">
        <f>IF(Table1[[#This Row],[MNT_TOTAL]]&gt;=900,"HIGH VALUE","LOW VALUE")</f>
        <v>LOW VALUE</v>
      </c>
      <c r="AP1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" s="1"/>
      <c r="AR137" s="1"/>
    </row>
    <row r="138" spans="1:44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39</v>
      </c>
      <c r="X138">
        <v>2464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18</v>
      </c>
      <c r="AJ138">
        <v>14</v>
      </c>
      <c r="AK138">
        <v>0</v>
      </c>
      <c r="AL138">
        <f t="shared" si="2"/>
        <v>22</v>
      </c>
      <c r="AM138">
        <f>IF(OR(Table1[[#This Row],[marital_Married]]=1,Table1[[#This Row],[marital_Together]]=1),1,0)</f>
        <v>1</v>
      </c>
      <c r="AN138" t="str">
        <f>IF(Table1[[#This Row],[Income]]&gt;=70000,"HIGH INCOME","LOW INCOME")</f>
        <v>LOW INCOME</v>
      </c>
      <c r="AO138" s="1" t="str">
        <f>IF(Table1[[#This Row],[MNT_TOTAL]]&gt;=900,"HIGH VALUE","LOW VALUE")</f>
        <v>LOW VALUE</v>
      </c>
      <c r="AP1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" s="1"/>
      <c r="AR138" s="1"/>
    </row>
    <row r="139" spans="1:44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47</v>
      </c>
      <c r="X139">
        <v>2835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179</v>
      </c>
      <c r="AJ139">
        <v>147</v>
      </c>
      <c r="AK139">
        <v>0</v>
      </c>
      <c r="AL139">
        <f t="shared" si="2"/>
        <v>211</v>
      </c>
      <c r="AM139">
        <f>IF(OR(Table1[[#This Row],[marital_Married]]=1,Table1[[#This Row],[marital_Together]]=1),1,0)</f>
        <v>1</v>
      </c>
      <c r="AN139" t="str">
        <f>IF(Table1[[#This Row],[Income]]&gt;=70000,"HIGH INCOME","LOW INCOME")</f>
        <v>LOW INCOME</v>
      </c>
      <c r="AO139" s="1" t="str">
        <f>IF(Table1[[#This Row],[MNT_TOTAL]]&gt;=900,"HIGH VALUE","LOW VALUE")</f>
        <v>LOW VALUE</v>
      </c>
      <c r="AP1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" s="1"/>
      <c r="AR139" s="1"/>
    </row>
    <row r="140" spans="1:44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54</v>
      </c>
      <c r="X140">
        <v>2167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119</v>
      </c>
      <c r="AJ140">
        <v>111</v>
      </c>
      <c r="AK140">
        <v>0</v>
      </c>
      <c r="AL140">
        <f t="shared" si="2"/>
        <v>127</v>
      </c>
      <c r="AM140">
        <f>IF(OR(Table1[[#This Row],[marital_Married]]=1,Table1[[#This Row],[marital_Together]]=1),1,0)</f>
        <v>1</v>
      </c>
      <c r="AN140" t="str">
        <f>IF(Table1[[#This Row],[Income]]&gt;=70000,"HIGH INCOME","LOW INCOME")</f>
        <v>LOW INCOME</v>
      </c>
      <c r="AO140" s="1" t="str">
        <f>IF(Table1[[#This Row],[MNT_TOTAL]]&gt;=900,"HIGH VALUE","LOW VALUE")</f>
        <v>LOW VALUE</v>
      </c>
      <c r="AP1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" s="1"/>
      <c r="AR140" s="1"/>
    </row>
    <row r="141" spans="1:44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67</v>
      </c>
      <c r="X141">
        <v>2225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446</v>
      </c>
      <c r="AJ141">
        <v>433</v>
      </c>
      <c r="AK141">
        <v>0</v>
      </c>
      <c r="AL141">
        <f t="shared" si="2"/>
        <v>459</v>
      </c>
      <c r="AM141">
        <f>IF(OR(Table1[[#This Row],[marital_Married]]=1,Table1[[#This Row],[marital_Together]]=1),1,0)</f>
        <v>1</v>
      </c>
      <c r="AN141" t="str">
        <f>IF(Table1[[#This Row],[Income]]&gt;=70000,"HIGH INCOME","LOW INCOME")</f>
        <v>LOW INCOME</v>
      </c>
      <c r="AO141" s="1" t="str">
        <f>IF(Table1[[#This Row],[MNT_TOTAL]]&gt;=900,"HIGH VALUE","LOW VALUE")</f>
        <v>LOW VALUE</v>
      </c>
      <c r="AP1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" s="1"/>
      <c r="AR141" s="1"/>
    </row>
    <row r="142" spans="1:44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51</v>
      </c>
      <c r="X142">
        <v>2273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447</v>
      </c>
      <c r="AJ142">
        <v>434</v>
      </c>
      <c r="AK142">
        <v>1</v>
      </c>
      <c r="AL142">
        <f t="shared" si="2"/>
        <v>460</v>
      </c>
      <c r="AM142">
        <f>IF(OR(Table1[[#This Row],[marital_Married]]=1,Table1[[#This Row],[marital_Together]]=1),1,0)</f>
        <v>1</v>
      </c>
      <c r="AN142" t="str">
        <f>IF(Table1[[#This Row],[Income]]&gt;=70000,"HIGH INCOME","LOW INCOME")</f>
        <v>LOW INCOME</v>
      </c>
      <c r="AO142" s="1" t="str">
        <f>IF(Table1[[#This Row],[MNT_TOTAL]]&gt;=900,"HIGH VALUE","LOW VALUE")</f>
        <v>LOW VALUE</v>
      </c>
      <c r="AP1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2" s="1"/>
      <c r="AR142" s="1"/>
    </row>
    <row r="143" spans="1:44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48</v>
      </c>
      <c r="X143">
        <v>2721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338</v>
      </c>
      <c r="AJ143">
        <v>247</v>
      </c>
      <c r="AK143">
        <v>0</v>
      </c>
      <c r="AL143">
        <f t="shared" si="2"/>
        <v>429</v>
      </c>
      <c r="AM143">
        <f>IF(OR(Table1[[#This Row],[marital_Married]]=1,Table1[[#This Row],[marital_Together]]=1),1,0)</f>
        <v>1</v>
      </c>
      <c r="AN143" t="str">
        <f>IF(Table1[[#This Row],[Income]]&gt;=70000,"HIGH INCOME","LOW INCOME")</f>
        <v>LOW INCOME</v>
      </c>
      <c r="AO143" s="1" t="str">
        <f>IF(Table1[[#This Row],[MNT_TOTAL]]&gt;=900,"HIGH VALUE","LOW VALUE")</f>
        <v>LOW VALUE</v>
      </c>
      <c r="AP1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" s="1"/>
      <c r="AR143" s="1"/>
    </row>
    <row r="144" spans="1:44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32</v>
      </c>
      <c r="X144">
        <v>2207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69</v>
      </c>
      <c r="AJ144">
        <v>49</v>
      </c>
      <c r="AK144">
        <v>0</v>
      </c>
      <c r="AL144">
        <f t="shared" si="2"/>
        <v>89</v>
      </c>
      <c r="AM144">
        <f>IF(OR(Table1[[#This Row],[marital_Married]]=1,Table1[[#This Row],[marital_Together]]=1),1,0)</f>
        <v>0</v>
      </c>
      <c r="AN144" t="str">
        <f>IF(Table1[[#This Row],[Income]]&gt;=70000,"HIGH INCOME","LOW INCOME")</f>
        <v>LOW INCOME</v>
      </c>
      <c r="AO144" s="1" t="str">
        <f>IF(Table1[[#This Row],[MNT_TOTAL]]&gt;=900,"HIGH VALUE","LOW VALUE")</f>
        <v>LOW VALUE</v>
      </c>
      <c r="AP1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4" s="1"/>
      <c r="AR144" s="1"/>
    </row>
    <row r="145" spans="1:44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68</v>
      </c>
      <c r="X145">
        <v>2787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945</v>
      </c>
      <c r="AJ145">
        <v>869</v>
      </c>
      <c r="AK145">
        <v>0</v>
      </c>
      <c r="AL145">
        <f t="shared" si="2"/>
        <v>1021</v>
      </c>
      <c r="AM145">
        <f>IF(OR(Table1[[#This Row],[marital_Married]]=1,Table1[[#This Row],[marital_Together]]=1),1,0)</f>
        <v>1</v>
      </c>
      <c r="AN145" t="str">
        <f>IF(Table1[[#This Row],[Income]]&gt;=70000,"HIGH INCOME","LOW INCOME")</f>
        <v>LOW INCOME</v>
      </c>
      <c r="AO145" s="1" t="str">
        <f>IF(Table1[[#This Row],[MNT_TOTAL]]&gt;=900,"HIGH VALUE","LOW VALUE")</f>
        <v>HIGH VALUE</v>
      </c>
      <c r="AP1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" s="1"/>
      <c r="AR145" s="1"/>
    </row>
    <row r="146" spans="1:44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71</v>
      </c>
      <c r="X146">
        <v>2654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1339</v>
      </c>
      <c r="AJ146">
        <v>1297</v>
      </c>
      <c r="AK146">
        <v>2</v>
      </c>
      <c r="AL146">
        <f t="shared" si="2"/>
        <v>1381</v>
      </c>
      <c r="AM146">
        <f>IF(OR(Table1[[#This Row],[marital_Married]]=1,Table1[[#This Row],[marital_Together]]=1),1,0)</f>
        <v>1</v>
      </c>
      <c r="AN146" t="str">
        <f>IF(Table1[[#This Row],[Income]]&gt;=70000,"HIGH INCOME","LOW INCOME")</f>
        <v>LOW INCOME</v>
      </c>
      <c r="AO146" s="1" t="str">
        <f>IF(Table1[[#This Row],[MNT_TOTAL]]&gt;=900,"HIGH VALUE","LOW VALUE")</f>
        <v>HIGH VALUE</v>
      </c>
      <c r="AP1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6" s="1"/>
      <c r="AR146" s="1"/>
    </row>
    <row r="147" spans="1:44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62</v>
      </c>
      <c r="X147">
        <v>2515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303</v>
      </c>
      <c r="AJ147">
        <v>300</v>
      </c>
      <c r="AK147">
        <v>0</v>
      </c>
      <c r="AL147">
        <f t="shared" si="2"/>
        <v>306</v>
      </c>
      <c r="AM147">
        <f>IF(OR(Table1[[#This Row],[marital_Married]]=1,Table1[[#This Row],[marital_Together]]=1),1,0)</f>
        <v>0</v>
      </c>
      <c r="AN147" t="str">
        <f>IF(Table1[[#This Row],[Income]]&gt;=70000,"HIGH INCOME","LOW INCOME")</f>
        <v>LOW INCOME</v>
      </c>
      <c r="AO147" s="1" t="str">
        <f>IF(Table1[[#This Row],[MNT_TOTAL]]&gt;=900,"HIGH VALUE","LOW VALUE")</f>
        <v>LOW VALUE</v>
      </c>
      <c r="AP1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" s="1"/>
      <c r="AR147" s="1"/>
    </row>
    <row r="148" spans="1:44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42</v>
      </c>
      <c r="X148">
        <v>2449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18</v>
      </c>
      <c r="AJ148">
        <v>18</v>
      </c>
      <c r="AK148">
        <v>0</v>
      </c>
      <c r="AL148">
        <f t="shared" si="2"/>
        <v>18</v>
      </c>
      <c r="AM148">
        <f>IF(OR(Table1[[#This Row],[marital_Married]]=1,Table1[[#This Row],[marital_Together]]=1),1,0)</f>
        <v>0</v>
      </c>
      <c r="AN148" t="str">
        <f>IF(Table1[[#This Row],[Income]]&gt;=70000,"HIGH INCOME","LOW INCOME")</f>
        <v>LOW INCOME</v>
      </c>
      <c r="AO148" s="1" t="str">
        <f>IF(Table1[[#This Row],[MNT_TOTAL]]&gt;=900,"HIGH VALUE","LOW VALUE")</f>
        <v>LOW VALUE</v>
      </c>
      <c r="AP1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" s="1"/>
      <c r="AR148" s="1"/>
    </row>
    <row r="149" spans="1:44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</v>
      </c>
      <c r="X149">
        <v>2414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148</v>
      </c>
      <c r="AJ149">
        <v>134</v>
      </c>
      <c r="AK149">
        <v>0</v>
      </c>
      <c r="AL149">
        <f t="shared" si="2"/>
        <v>162</v>
      </c>
      <c r="AM149">
        <f>IF(OR(Table1[[#This Row],[marital_Married]]=1,Table1[[#This Row],[marital_Together]]=1),1,0)</f>
        <v>1</v>
      </c>
      <c r="AN149" t="str">
        <f>IF(Table1[[#This Row],[Income]]&gt;=70000,"HIGH INCOME","LOW INCOME")</f>
        <v>LOW INCOME</v>
      </c>
      <c r="AO149" s="1" t="str">
        <f>IF(Table1[[#This Row],[MNT_TOTAL]]&gt;=900,"HIGH VALUE","LOW VALUE")</f>
        <v>LOW VALUE</v>
      </c>
      <c r="AP1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9" s="1"/>
      <c r="AR149" s="1"/>
    </row>
    <row r="150" spans="1:44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65</v>
      </c>
      <c r="X150">
        <v>2472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1174</v>
      </c>
      <c r="AJ150">
        <v>1117</v>
      </c>
      <c r="AK150">
        <v>0</v>
      </c>
      <c r="AL150">
        <f t="shared" si="2"/>
        <v>1231</v>
      </c>
      <c r="AM150">
        <f>IF(OR(Table1[[#This Row],[marital_Married]]=1,Table1[[#This Row],[marital_Together]]=1),1,0)</f>
        <v>0</v>
      </c>
      <c r="AN150" t="str">
        <f>IF(Table1[[#This Row],[Income]]&gt;=70000,"HIGH INCOME","LOW INCOME")</f>
        <v>HIGH INCOME</v>
      </c>
      <c r="AO150" s="1" t="str">
        <f>IF(Table1[[#This Row],[MNT_TOTAL]]&gt;=900,"HIGH VALUE","LOW VALUE")</f>
        <v>HIGH VALUE</v>
      </c>
      <c r="AP1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0" s="1"/>
      <c r="AR150" s="1"/>
    </row>
    <row r="151" spans="1:44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62</v>
      </c>
      <c r="X151">
        <v>2522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8</v>
      </c>
      <c r="AJ151">
        <v>3</v>
      </c>
      <c r="AK151">
        <v>0</v>
      </c>
      <c r="AL151">
        <f t="shared" si="2"/>
        <v>13</v>
      </c>
      <c r="AM151">
        <f>IF(OR(Table1[[#This Row],[marital_Married]]=1,Table1[[#This Row],[marital_Together]]=1),1,0)</f>
        <v>0</v>
      </c>
      <c r="AN151" t="str">
        <f>IF(Table1[[#This Row],[Income]]&gt;=70000,"HIGH INCOME","LOW INCOME")</f>
        <v>LOW INCOME</v>
      </c>
      <c r="AO151" s="1" t="str">
        <f>IF(Table1[[#This Row],[MNT_TOTAL]]&gt;=900,"HIGH VALUE","LOW VALUE")</f>
        <v>LOW VALUE</v>
      </c>
      <c r="AP1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" s="1"/>
      <c r="AR151" s="1"/>
    </row>
    <row r="152" spans="1:44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75</v>
      </c>
      <c r="X152">
        <v>2760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1673</v>
      </c>
      <c r="AJ152">
        <v>1640</v>
      </c>
      <c r="AK152">
        <v>0</v>
      </c>
      <c r="AL152">
        <f t="shared" si="2"/>
        <v>1706</v>
      </c>
      <c r="AM152">
        <f>IF(OR(Table1[[#This Row],[marital_Married]]=1,Table1[[#This Row],[marital_Together]]=1),1,0)</f>
        <v>1</v>
      </c>
      <c r="AN152" t="str">
        <f>IF(Table1[[#This Row],[Income]]&gt;=70000,"HIGH INCOME","LOW INCOME")</f>
        <v>HIGH INCOME</v>
      </c>
      <c r="AO152" s="1" t="str">
        <f>IF(Table1[[#This Row],[MNT_TOTAL]]&gt;=900,"HIGH VALUE","LOW VALUE")</f>
        <v>HIGH VALUE</v>
      </c>
      <c r="AP1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2" s="1"/>
      <c r="AR152" s="1"/>
    </row>
    <row r="153" spans="1:44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36</v>
      </c>
      <c r="X153">
        <v>2334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116</v>
      </c>
      <c r="AJ153">
        <v>111</v>
      </c>
      <c r="AK153">
        <v>0</v>
      </c>
      <c r="AL153">
        <f t="shared" si="2"/>
        <v>121</v>
      </c>
      <c r="AM153">
        <f>IF(OR(Table1[[#This Row],[marital_Married]]=1,Table1[[#This Row],[marital_Together]]=1),1,0)</f>
        <v>1</v>
      </c>
      <c r="AN153" t="str">
        <f>IF(Table1[[#This Row],[Income]]&gt;=70000,"HIGH INCOME","LOW INCOME")</f>
        <v>LOW INCOME</v>
      </c>
      <c r="AO153" s="1" t="str">
        <f>IF(Table1[[#This Row],[MNT_TOTAL]]&gt;=900,"HIGH VALUE","LOW VALUE")</f>
        <v>LOW VALUE</v>
      </c>
      <c r="AP1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" s="1"/>
      <c r="AR153" s="1"/>
    </row>
    <row r="154" spans="1:44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45</v>
      </c>
      <c r="X154">
        <v>2583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1281</v>
      </c>
      <c r="AJ154">
        <v>1269</v>
      </c>
      <c r="AK154">
        <v>0</v>
      </c>
      <c r="AL154">
        <f t="shared" si="2"/>
        <v>1293</v>
      </c>
      <c r="AM154">
        <f>IF(OR(Table1[[#This Row],[marital_Married]]=1,Table1[[#This Row],[marital_Together]]=1),1,0)</f>
        <v>0</v>
      </c>
      <c r="AN154" t="str">
        <f>IF(Table1[[#This Row],[Income]]&gt;=70000,"HIGH INCOME","LOW INCOME")</f>
        <v>HIGH INCOME</v>
      </c>
      <c r="AO154" s="1" t="str">
        <f>IF(Table1[[#This Row],[MNT_TOTAL]]&gt;=900,"HIGH VALUE","LOW VALUE")</f>
        <v>HIGH VALUE</v>
      </c>
      <c r="AP1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4" s="1"/>
      <c r="AR154" s="1"/>
    </row>
    <row r="155" spans="1:44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54</v>
      </c>
      <c r="X155">
        <v>2387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60</v>
      </c>
      <c r="AJ155">
        <v>32</v>
      </c>
      <c r="AK155">
        <v>0</v>
      </c>
      <c r="AL155">
        <f t="shared" si="2"/>
        <v>88</v>
      </c>
      <c r="AM155">
        <f>IF(OR(Table1[[#This Row],[marital_Married]]=1,Table1[[#This Row],[marital_Together]]=1),1,0)</f>
        <v>1</v>
      </c>
      <c r="AN155" t="str">
        <f>IF(Table1[[#This Row],[Income]]&gt;=70000,"HIGH INCOME","LOW INCOME")</f>
        <v>LOW INCOME</v>
      </c>
      <c r="AO155" s="1" t="str">
        <f>IF(Table1[[#This Row],[MNT_TOTAL]]&gt;=900,"HIGH VALUE","LOW VALUE")</f>
        <v>LOW VALUE</v>
      </c>
      <c r="AP1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" s="1"/>
      <c r="AR155" s="1"/>
    </row>
    <row r="156" spans="1:44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67</v>
      </c>
      <c r="X156">
        <v>2382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394</v>
      </c>
      <c r="AJ156">
        <v>367</v>
      </c>
      <c r="AK156">
        <v>1</v>
      </c>
      <c r="AL156">
        <f t="shared" si="2"/>
        <v>421</v>
      </c>
      <c r="AM156">
        <f>IF(OR(Table1[[#This Row],[marital_Married]]=1,Table1[[#This Row],[marital_Together]]=1),1,0)</f>
        <v>0</v>
      </c>
      <c r="AN156" t="str">
        <f>IF(Table1[[#This Row],[Income]]&gt;=70000,"HIGH INCOME","LOW INCOME")</f>
        <v>LOW INCOME</v>
      </c>
      <c r="AO156" s="1" t="str">
        <f>IF(Table1[[#This Row],[MNT_TOTAL]]&gt;=900,"HIGH VALUE","LOW VALUE")</f>
        <v>LOW VALUE</v>
      </c>
      <c r="AP1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6" s="1"/>
      <c r="AR156" s="1"/>
    </row>
    <row r="157" spans="1:44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61</v>
      </c>
      <c r="X157">
        <v>2464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257</v>
      </c>
      <c r="AJ157">
        <v>255</v>
      </c>
      <c r="AK157">
        <v>1</v>
      </c>
      <c r="AL157">
        <f t="shared" si="2"/>
        <v>259</v>
      </c>
      <c r="AM157">
        <f>IF(OR(Table1[[#This Row],[marital_Married]]=1,Table1[[#This Row],[marital_Together]]=1),1,0)</f>
        <v>0</v>
      </c>
      <c r="AN157" t="str">
        <f>IF(Table1[[#This Row],[Income]]&gt;=70000,"HIGH INCOME","LOW INCOME")</f>
        <v>LOW INCOME</v>
      </c>
      <c r="AO157" s="1" t="str">
        <f>IF(Table1[[#This Row],[MNT_TOTAL]]&gt;=900,"HIGH VALUE","LOW VALUE")</f>
        <v>LOW VALUE</v>
      </c>
      <c r="AP1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7" s="1"/>
      <c r="AR157" s="1"/>
    </row>
    <row r="158" spans="1:44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32</v>
      </c>
      <c r="X158">
        <v>2398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993</v>
      </c>
      <c r="AJ158">
        <v>869</v>
      </c>
      <c r="AK158">
        <v>0</v>
      </c>
      <c r="AL158">
        <f t="shared" si="2"/>
        <v>1117</v>
      </c>
      <c r="AM158">
        <f>IF(OR(Table1[[#This Row],[marital_Married]]=1,Table1[[#This Row],[marital_Together]]=1),1,0)</f>
        <v>0</v>
      </c>
      <c r="AN158" t="str">
        <f>IF(Table1[[#This Row],[Income]]&gt;=70000,"HIGH INCOME","LOW INCOME")</f>
        <v>LOW INCOME</v>
      </c>
      <c r="AO158" s="1" t="str">
        <f>IF(Table1[[#This Row],[MNT_TOTAL]]&gt;=900,"HIGH VALUE","LOW VALUE")</f>
        <v>HIGH VALUE</v>
      </c>
      <c r="AP1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8" s="1"/>
      <c r="AR158" s="1"/>
    </row>
    <row r="159" spans="1:44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63</v>
      </c>
      <c r="X159">
        <v>2283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69</v>
      </c>
      <c r="AJ159">
        <v>49</v>
      </c>
      <c r="AK159">
        <v>0</v>
      </c>
      <c r="AL159">
        <f t="shared" si="2"/>
        <v>89</v>
      </c>
      <c r="AM159">
        <f>IF(OR(Table1[[#This Row],[marital_Married]]=1,Table1[[#This Row],[marital_Together]]=1),1,0)</f>
        <v>1</v>
      </c>
      <c r="AN159" t="str">
        <f>IF(Table1[[#This Row],[Income]]&gt;=70000,"HIGH INCOME","LOW INCOME")</f>
        <v>LOW INCOME</v>
      </c>
      <c r="AO159" s="1" t="str">
        <f>IF(Table1[[#This Row],[MNT_TOTAL]]&gt;=900,"HIGH VALUE","LOW VALUE")</f>
        <v>LOW VALUE</v>
      </c>
      <c r="AP1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" s="1"/>
      <c r="AR159" s="1"/>
    </row>
    <row r="160" spans="1:44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55</v>
      </c>
      <c r="X160">
        <v>2228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29</v>
      </c>
      <c r="AJ160">
        <v>22</v>
      </c>
      <c r="AK160">
        <v>0</v>
      </c>
      <c r="AL160">
        <f t="shared" si="2"/>
        <v>36</v>
      </c>
      <c r="AM160">
        <f>IF(OR(Table1[[#This Row],[marital_Married]]=1,Table1[[#This Row],[marital_Together]]=1),1,0)</f>
        <v>1</v>
      </c>
      <c r="AN160" t="str">
        <f>IF(Table1[[#This Row],[Income]]&gt;=70000,"HIGH INCOME","LOW INCOME")</f>
        <v>LOW INCOME</v>
      </c>
      <c r="AO160" s="1" t="str">
        <f>IF(Table1[[#This Row],[MNT_TOTAL]]&gt;=900,"HIGH VALUE","LOW VALUE")</f>
        <v>LOW VALUE</v>
      </c>
      <c r="AP1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" s="1"/>
      <c r="AR160" s="1"/>
    </row>
    <row r="161" spans="1:44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38</v>
      </c>
      <c r="X161">
        <v>2510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41</v>
      </c>
      <c r="AJ161">
        <v>25</v>
      </c>
      <c r="AK161">
        <v>0</v>
      </c>
      <c r="AL161">
        <f t="shared" si="2"/>
        <v>57</v>
      </c>
      <c r="AM161">
        <f>IF(OR(Table1[[#This Row],[marital_Married]]=1,Table1[[#This Row],[marital_Together]]=1),1,0)</f>
        <v>1</v>
      </c>
      <c r="AN161" t="str">
        <f>IF(Table1[[#This Row],[Income]]&gt;=70000,"HIGH INCOME","LOW INCOME")</f>
        <v>LOW INCOME</v>
      </c>
      <c r="AO161" s="1" t="str">
        <f>IF(Table1[[#This Row],[MNT_TOTAL]]&gt;=900,"HIGH VALUE","LOW VALUE")</f>
        <v>LOW VALUE</v>
      </c>
      <c r="AP1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" s="1"/>
      <c r="AR161" s="1"/>
    </row>
    <row r="162" spans="1:44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50</v>
      </c>
      <c r="X162">
        <v>2228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121</v>
      </c>
      <c r="AJ162">
        <v>94</v>
      </c>
      <c r="AK162">
        <v>0</v>
      </c>
      <c r="AL162">
        <f t="shared" si="2"/>
        <v>148</v>
      </c>
      <c r="AM162">
        <f>IF(OR(Table1[[#This Row],[marital_Married]]=1,Table1[[#This Row],[marital_Together]]=1),1,0)</f>
        <v>1</v>
      </c>
      <c r="AN162" t="str">
        <f>IF(Table1[[#This Row],[Income]]&gt;=70000,"HIGH INCOME","LOW INCOME")</f>
        <v>LOW INCOME</v>
      </c>
      <c r="AO162" s="1" t="str">
        <f>IF(Table1[[#This Row],[MNT_TOTAL]]&gt;=900,"HIGH VALUE","LOW VALUE")</f>
        <v>LOW VALUE</v>
      </c>
      <c r="AP1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2" s="1"/>
      <c r="AR162" s="1"/>
    </row>
    <row r="163" spans="1:44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61</v>
      </c>
      <c r="X163">
        <v>2309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87</v>
      </c>
      <c r="AJ163">
        <v>81</v>
      </c>
      <c r="AK163">
        <v>0</v>
      </c>
      <c r="AL163">
        <f t="shared" si="2"/>
        <v>93</v>
      </c>
      <c r="AM163">
        <f>IF(OR(Table1[[#This Row],[marital_Married]]=1,Table1[[#This Row],[marital_Together]]=1),1,0)</f>
        <v>1</v>
      </c>
      <c r="AN163" t="str">
        <f>IF(Table1[[#This Row],[Income]]&gt;=70000,"HIGH INCOME","LOW INCOME")</f>
        <v>LOW INCOME</v>
      </c>
      <c r="AO163" s="1" t="str">
        <f>IF(Table1[[#This Row],[MNT_TOTAL]]&gt;=900,"HIGH VALUE","LOW VALUE")</f>
        <v>LOW VALUE</v>
      </c>
      <c r="AP1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3" s="1"/>
      <c r="AR163" s="1"/>
    </row>
    <row r="164" spans="1:44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53</v>
      </c>
      <c r="X164">
        <v>2245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71</v>
      </c>
      <c r="AJ164">
        <v>23</v>
      </c>
      <c r="AK164">
        <v>1</v>
      </c>
      <c r="AL164">
        <f t="shared" si="2"/>
        <v>119</v>
      </c>
      <c r="AM164">
        <f>IF(OR(Table1[[#This Row],[marital_Married]]=1,Table1[[#This Row],[marital_Together]]=1),1,0)</f>
        <v>0</v>
      </c>
      <c r="AN164" t="str">
        <f>IF(Table1[[#This Row],[Income]]&gt;=70000,"HIGH INCOME","LOW INCOME")</f>
        <v>LOW INCOME</v>
      </c>
      <c r="AO164" s="1" t="str">
        <f>IF(Table1[[#This Row],[MNT_TOTAL]]&gt;=900,"HIGH VALUE","LOW VALUE")</f>
        <v>LOW VALUE</v>
      </c>
      <c r="AP1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4" s="1"/>
      <c r="AR164" s="1"/>
    </row>
    <row r="165" spans="1:44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45</v>
      </c>
      <c r="X165">
        <v>2814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1809</v>
      </c>
      <c r="AJ165">
        <v>1783</v>
      </c>
      <c r="AK165">
        <v>0</v>
      </c>
      <c r="AL165">
        <f t="shared" si="2"/>
        <v>1835</v>
      </c>
      <c r="AM165">
        <f>IF(OR(Table1[[#This Row],[marital_Married]]=1,Table1[[#This Row],[marital_Together]]=1),1,0)</f>
        <v>1</v>
      </c>
      <c r="AN165" t="str">
        <f>IF(Table1[[#This Row],[Income]]&gt;=70000,"HIGH INCOME","LOW INCOME")</f>
        <v>HIGH INCOME</v>
      </c>
      <c r="AO165" s="1" t="str">
        <f>IF(Table1[[#This Row],[MNT_TOTAL]]&gt;=900,"HIGH VALUE","LOW VALUE")</f>
        <v>HIGH VALUE</v>
      </c>
      <c r="AP1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5" s="1"/>
      <c r="AR165" s="1"/>
    </row>
    <row r="166" spans="1:44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72</v>
      </c>
      <c r="X166">
        <v>2719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1207</v>
      </c>
      <c r="AJ166">
        <v>1096</v>
      </c>
      <c r="AK166">
        <v>2</v>
      </c>
      <c r="AL166">
        <f t="shared" si="2"/>
        <v>1318</v>
      </c>
      <c r="AM166">
        <f>IF(OR(Table1[[#This Row],[marital_Married]]=1,Table1[[#This Row],[marital_Together]]=1),1,0)</f>
        <v>1</v>
      </c>
      <c r="AN166" t="str">
        <f>IF(Table1[[#This Row],[Income]]&gt;=70000,"HIGH INCOME","LOW INCOME")</f>
        <v>HIGH INCOME</v>
      </c>
      <c r="AO166" s="1" t="str">
        <f>IF(Table1[[#This Row],[MNT_TOTAL]]&gt;=900,"HIGH VALUE","LOW VALUE")</f>
        <v>HIGH VALUE</v>
      </c>
      <c r="AP1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6" s="1"/>
      <c r="AR166" s="1"/>
    </row>
    <row r="167" spans="1:44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50</v>
      </c>
      <c r="X167">
        <v>2196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43</v>
      </c>
      <c r="AJ167">
        <v>41</v>
      </c>
      <c r="AK167">
        <v>0</v>
      </c>
      <c r="AL167">
        <f t="shared" si="2"/>
        <v>45</v>
      </c>
      <c r="AM167">
        <f>IF(OR(Table1[[#This Row],[marital_Married]]=1,Table1[[#This Row],[marital_Together]]=1),1,0)</f>
        <v>1</v>
      </c>
      <c r="AN167" t="str">
        <f>IF(Table1[[#This Row],[Income]]&gt;=70000,"HIGH INCOME","LOW INCOME")</f>
        <v>LOW INCOME</v>
      </c>
      <c r="AO167" s="1" t="str">
        <f>IF(Table1[[#This Row],[MNT_TOTAL]]&gt;=900,"HIGH VALUE","LOW VALUE")</f>
        <v>LOW VALUE</v>
      </c>
      <c r="AP1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7" s="1"/>
      <c r="AR167" s="1"/>
    </row>
    <row r="168" spans="1:44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61</v>
      </c>
      <c r="X168">
        <v>2164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9</v>
      </c>
      <c r="AJ168">
        <v>8</v>
      </c>
      <c r="AK168">
        <v>0</v>
      </c>
      <c r="AL168">
        <f t="shared" si="2"/>
        <v>10</v>
      </c>
      <c r="AM168">
        <f>IF(OR(Table1[[#This Row],[marital_Married]]=1,Table1[[#This Row],[marital_Together]]=1),1,0)</f>
        <v>1</v>
      </c>
      <c r="AN168" t="str">
        <f>IF(Table1[[#This Row],[Income]]&gt;=70000,"HIGH INCOME","LOW INCOME")</f>
        <v>LOW INCOME</v>
      </c>
      <c r="AO168" s="1" t="str">
        <f>IF(Table1[[#This Row],[MNT_TOTAL]]&gt;=900,"HIGH VALUE","LOW VALUE")</f>
        <v>LOW VALUE</v>
      </c>
      <c r="AP1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" s="1"/>
      <c r="AR168" s="1"/>
    </row>
    <row r="169" spans="1:44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69</v>
      </c>
      <c r="X169">
        <v>2369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755</v>
      </c>
      <c r="AJ169">
        <v>532</v>
      </c>
      <c r="AK169">
        <v>1</v>
      </c>
      <c r="AL169">
        <f t="shared" si="2"/>
        <v>978</v>
      </c>
      <c r="AM169">
        <f>IF(OR(Table1[[#This Row],[marital_Married]]=1,Table1[[#This Row],[marital_Together]]=1),1,0)</f>
        <v>1</v>
      </c>
      <c r="AN169" t="str">
        <f>IF(Table1[[#This Row],[Income]]&gt;=70000,"HIGH INCOME","LOW INCOME")</f>
        <v>HIGH INCOME</v>
      </c>
      <c r="AO169" s="1" t="str">
        <f>IF(Table1[[#This Row],[MNT_TOTAL]]&gt;=900,"HIGH VALUE","LOW VALUE")</f>
        <v>HIGH VALUE</v>
      </c>
      <c r="AP1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9" s="1"/>
      <c r="AR169" s="1"/>
    </row>
    <row r="170" spans="1:44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44</v>
      </c>
      <c r="X170">
        <v>2208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184</v>
      </c>
      <c r="AJ170">
        <v>177</v>
      </c>
      <c r="AK170">
        <v>0</v>
      </c>
      <c r="AL170">
        <f t="shared" si="2"/>
        <v>191</v>
      </c>
      <c r="AM170">
        <f>IF(OR(Table1[[#This Row],[marital_Married]]=1,Table1[[#This Row],[marital_Together]]=1),1,0)</f>
        <v>1</v>
      </c>
      <c r="AN170" t="str">
        <f>IF(Table1[[#This Row],[Income]]&gt;=70000,"HIGH INCOME","LOW INCOME")</f>
        <v>LOW INCOME</v>
      </c>
      <c r="AO170" s="1" t="str">
        <f>IF(Table1[[#This Row],[MNT_TOTAL]]&gt;=900,"HIGH VALUE","LOW VALUE")</f>
        <v>LOW VALUE</v>
      </c>
      <c r="AP1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0" s="1"/>
      <c r="AR170" s="1"/>
    </row>
    <row r="171" spans="1:44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32</v>
      </c>
      <c r="X171">
        <v>2209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48</v>
      </c>
      <c r="AJ171">
        <v>39</v>
      </c>
      <c r="AK171">
        <v>0</v>
      </c>
      <c r="AL171">
        <f t="shared" si="2"/>
        <v>57</v>
      </c>
      <c r="AM171">
        <f>IF(OR(Table1[[#This Row],[marital_Married]]=1,Table1[[#This Row],[marital_Together]]=1),1,0)</f>
        <v>1</v>
      </c>
      <c r="AN171" t="str">
        <f>IF(Table1[[#This Row],[Income]]&gt;=70000,"HIGH INCOME","LOW INCOME")</f>
        <v>LOW INCOME</v>
      </c>
      <c r="AO171" s="1" t="str">
        <f>IF(Table1[[#This Row],[MNT_TOTAL]]&gt;=900,"HIGH VALUE","LOW VALUE")</f>
        <v>LOW VALUE</v>
      </c>
      <c r="AP1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1" s="1"/>
      <c r="AR171" s="1"/>
    </row>
    <row r="172" spans="1:44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74</v>
      </c>
      <c r="X172">
        <v>2433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892</v>
      </c>
      <c r="AJ172">
        <v>751</v>
      </c>
      <c r="AK172">
        <v>0</v>
      </c>
      <c r="AL172">
        <f t="shared" si="2"/>
        <v>1033</v>
      </c>
      <c r="AM172">
        <f>IF(OR(Table1[[#This Row],[marital_Married]]=1,Table1[[#This Row],[marital_Together]]=1),1,0)</f>
        <v>1</v>
      </c>
      <c r="AN172" t="str">
        <f>IF(Table1[[#This Row],[Income]]&gt;=70000,"HIGH INCOME","LOW INCOME")</f>
        <v>LOW INCOME</v>
      </c>
      <c r="AO172" s="1" t="str">
        <f>IF(Table1[[#This Row],[MNT_TOTAL]]&gt;=900,"HIGH VALUE","LOW VALUE")</f>
        <v>HIGH VALUE</v>
      </c>
      <c r="AP1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" s="1"/>
      <c r="AR172" s="1"/>
    </row>
    <row r="173" spans="1:44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36</v>
      </c>
      <c r="X173">
        <v>2317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54</v>
      </c>
      <c r="AJ173">
        <v>42</v>
      </c>
      <c r="AK173">
        <v>0</v>
      </c>
      <c r="AL173">
        <f t="shared" si="2"/>
        <v>66</v>
      </c>
      <c r="AM173">
        <f>IF(OR(Table1[[#This Row],[marital_Married]]=1,Table1[[#This Row],[marital_Together]]=1),1,0)</f>
        <v>1</v>
      </c>
      <c r="AN173" t="str">
        <f>IF(Table1[[#This Row],[Income]]&gt;=70000,"HIGH INCOME","LOW INCOME")</f>
        <v>LOW INCOME</v>
      </c>
      <c r="AO173" s="1" t="str">
        <f>IF(Table1[[#This Row],[MNT_TOTAL]]&gt;=900,"HIGH VALUE","LOW VALUE")</f>
        <v>LOW VALUE</v>
      </c>
      <c r="AP1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3" s="1"/>
      <c r="AR173" s="1"/>
    </row>
    <row r="174" spans="1:44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59</v>
      </c>
      <c r="X174">
        <v>2173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33</v>
      </c>
      <c r="AJ174">
        <v>23</v>
      </c>
      <c r="AK174">
        <v>0</v>
      </c>
      <c r="AL174">
        <f t="shared" si="2"/>
        <v>43</v>
      </c>
      <c r="AM174">
        <f>IF(OR(Table1[[#This Row],[marital_Married]]=1,Table1[[#This Row],[marital_Together]]=1),1,0)</f>
        <v>1</v>
      </c>
      <c r="AN174" t="str">
        <f>IF(Table1[[#This Row],[Income]]&gt;=70000,"HIGH INCOME","LOW INCOME")</f>
        <v>LOW INCOME</v>
      </c>
      <c r="AO174" s="1" t="str">
        <f>IF(Table1[[#This Row],[MNT_TOTAL]]&gt;=900,"HIGH VALUE","LOW VALUE")</f>
        <v>LOW VALUE</v>
      </c>
      <c r="AP1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4" s="1"/>
      <c r="AR174" s="1"/>
    </row>
    <row r="175" spans="1:44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37</v>
      </c>
      <c r="X175">
        <v>2730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43</v>
      </c>
      <c r="AJ175">
        <v>36</v>
      </c>
      <c r="AK175">
        <v>0</v>
      </c>
      <c r="AL175">
        <f t="shared" si="2"/>
        <v>50</v>
      </c>
      <c r="AM175">
        <f>IF(OR(Table1[[#This Row],[marital_Married]]=1,Table1[[#This Row],[marital_Together]]=1),1,0)</f>
        <v>1</v>
      </c>
      <c r="AN175" t="str">
        <f>IF(Table1[[#This Row],[Income]]&gt;=70000,"HIGH INCOME","LOW INCOME")</f>
        <v>LOW INCOME</v>
      </c>
      <c r="AO175" s="1" t="str">
        <f>IF(Table1[[#This Row],[MNT_TOTAL]]&gt;=900,"HIGH VALUE","LOW VALUE")</f>
        <v>LOW VALUE</v>
      </c>
      <c r="AP1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" s="1"/>
      <c r="AR175" s="1"/>
    </row>
    <row r="176" spans="1:44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50</v>
      </c>
      <c r="X176">
        <v>2272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37</v>
      </c>
      <c r="AJ176">
        <v>35</v>
      </c>
      <c r="AK176">
        <v>0</v>
      </c>
      <c r="AL176">
        <f t="shared" si="2"/>
        <v>39</v>
      </c>
      <c r="AM176">
        <f>IF(OR(Table1[[#This Row],[marital_Married]]=1,Table1[[#This Row],[marital_Together]]=1),1,0)</f>
        <v>0</v>
      </c>
      <c r="AN176" t="str">
        <f>IF(Table1[[#This Row],[Income]]&gt;=70000,"HIGH INCOME","LOW INCOME")</f>
        <v>LOW INCOME</v>
      </c>
      <c r="AO176" s="1" t="str">
        <f>IF(Table1[[#This Row],[MNT_TOTAL]]&gt;=900,"HIGH VALUE","LOW VALUE")</f>
        <v>LOW VALUE</v>
      </c>
      <c r="AP1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6" s="1"/>
      <c r="AR176" s="1"/>
    </row>
    <row r="177" spans="1:44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54</v>
      </c>
      <c r="X177">
        <v>2490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491</v>
      </c>
      <c r="AJ177">
        <v>374</v>
      </c>
      <c r="AK177">
        <v>0</v>
      </c>
      <c r="AL177">
        <f t="shared" si="2"/>
        <v>608</v>
      </c>
      <c r="AM177">
        <f>IF(OR(Table1[[#This Row],[marital_Married]]=1,Table1[[#This Row],[marital_Together]]=1),1,0)</f>
        <v>1</v>
      </c>
      <c r="AN177" t="str">
        <f>IF(Table1[[#This Row],[Income]]&gt;=70000,"HIGH INCOME","LOW INCOME")</f>
        <v>LOW INCOME</v>
      </c>
      <c r="AO177" s="1" t="str">
        <f>IF(Table1[[#This Row],[MNT_TOTAL]]&gt;=900,"HIGH VALUE","LOW VALUE")</f>
        <v>LOW VALUE</v>
      </c>
      <c r="AP1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7" s="1"/>
      <c r="AR177" s="1"/>
    </row>
    <row r="178" spans="1:44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44</v>
      </c>
      <c r="X178">
        <v>2626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1566</v>
      </c>
      <c r="AJ178">
        <v>1551</v>
      </c>
      <c r="AK178">
        <v>0</v>
      </c>
      <c r="AL178">
        <f t="shared" si="2"/>
        <v>1581</v>
      </c>
      <c r="AM178">
        <f>IF(OR(Table1[[#This Row],[marital_Married]]=1,Table1[[#This Row],[marital_Together]]=1),1,0)</f>
        <v>1</v>
      </c>
      <c r="AN178" t="str">
        <f>IF(Table1[[#This Row],[Income]]&gt;=70000,"HIGH INCOME","LOW INCOME")</f>
        <v>HIGH INCOME</v>
      </c>
      <c r="AO178" s="1" t="str">
        <f>IF(Table1[[#This Row],[MNT_TOTAL]]&gt;=900,"HIGH VALUE","LOW VALUE")</f>
        <v>HIGH VALUE</v>
      </c>
      <c r="AP1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8" s="1"/>
      <c r="AR178" s="1"/>
    </row>
    <row r="179" spans="1:44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56</v>
      </c>
      <c r="X179">
        <v>2650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64</v>
      </c>
      <c r="AJ179">
        <v>60</v>
      </c>
      <c r="AK179">
        <v>0</v>
      </c>
      <c r="AL179">
        <f t="shared" si="2"/>
        <v>68</v>
      </c>
      <c r="AM179">
        <f>IF(OR(Table1[[#This Row],[marital_Married]]=1,Table1[[#This Row],[marital_Together]]=1),1,0)</f>
        <v>1</v>
      </c>
      <c r="AN179" t="str">
        <f>IF(Table1[[#This Row],[Income]]&gt;=70000,"HIGH INCOME","LOW INCOME")</f>
        <v>LOW INCOME</v>
      </c>
      <c r="AO179" s="1" t="str">
        <f>IF(Table1[[#This Row],[MNT_TOTAL]]&gt;=900,"HIGH VALUE","LOW VALUE")</f>
        <v>LOW VALUE</v>
      </c>
      <c r="AP1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" s="1"/>
      <c r="AR179" s="1"/>
    </row>
    <row r="180" spans="1:44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42</v>
      </c>
      <c r="X180">
        <v>2817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44</v>
      </c>
      <c r="AJ180">
        <v>8</v>
      </c>
      <c r="AK180">
        <v>1</v>
      </c>
      <c r="AL180">
        <f t="shared" si="2"/>
        <v>80</v>
      </c>
      <c r="AM180">
        <f>IF(OR(Table1[[#This Row],[marital_Married]]=1,Table1[[#This Row],[marital_Together]]=1),1,0)</f>
        <v>1</v>
      </c>
      <c r="AN180" t="str">
        <f>IF(Table1[[#This Row],[Income]]&gt;=70000,"HIGH INCOME","LOW INCOME")</f>
        <v>LOW INCOME</v>
      </c>
      <c r="AO180" s="1" t="str">
        <f>IF(Table1[[#This Row],[MNT_TOTAL]]&gt;=900,"HIGH VALUE","LOW VALUE")</f>
        <v>LOW VALUE</v>
      </c>
      <c r="AP1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0" s="1"/>
      <c r="AR180" s="1"/>
    </row>
    <row r="181" spans="1:44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31</v>
      </c>
      <c r="X181">
        <v>2567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1180</v>
      </c>
      <c r="AJ181">
        <v>1078</v>
      </c>
      <c r="AK181">
        <v>0</v>
      </c>
      <c r="AL181">
        <f t="shared" si="2"/>
        <v>1282</v>
      </c>
      <c r="AM181">
        <f>IF(OR(Table1[[#This Row],[marital_Married]]=1,Table1[[#This Row],[marital_Together]]=1),1,0)</f>
        <v>1</v>
      </c>
      <c r="AN181" t="str">
        <f>IF(Table1[[#This Row],[Income]]&gt;=70000,"HIGH INCOME","LOW INCOME")</f>
        <v>LOW INCOME</v>
      </c>
      <c r="AO181" s="1" t="str">
        <f>IF(Table1[[#This Row],[MNT_TOTAL]]&gt;=900,"HIGH VALUE","LOW VALUE")</f>
        <v>HIGH VALUE</v>
      </c>
      <c r="AP1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1" s="1"/>
      <c r="AR181" s="1"/>
    </row>
    <row r="182" spans="1:44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32</v>
      </c>
      <c r="X182">
        <v>2554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69</v>
      </c>
      <c r="AJ182">
        <v>47</v>
      </c>
      <c r="AK182">
        <v>0</v>
      </c>
      <c r="AL182">
        <f t="shared" si="2"/>
        <v>91</v>
      </c>
      <c r="AM182">
        <f>IF(OR(Table1[[#This Row],[marital_Married]]=1,Table1[[#This Row],[marital_Together]]=1),1,0)</f>
        <v>1</v>
      </c>
      <c r="AN182" t="str">
        <f>IF(Table1[[#This Row],[Income]]&gt;=70000,"HIGH INCOME","LOW INCOME")</f>
        <v>LOW INCOME</v>
      </c>
      <c r="AO182" s="1" t="str">
        <f>IF(Table1[[#This Row],[MNT_TOTAL]]&gt;=900,"HIGH VALUE","LOW VALUE")</f>
        <v>LOW VALUE</v>
      </c>
      <c r="AP1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" s="1"/>
      <c r="AR182" s="1"/>
    </row>
    <row r="183" spans="1:44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47</v>
      </c>
      <c r="X183">
        <v>2655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303</v>
      </c>
      <c r="AJ183">
        <v>291</v>
      </c>
      <c r="AK183">
        <v>0</v>
      </c>
      <c r="AL183">
        <f t="shared" si="2"/>
        <v>315</v>
      </c>
      <c r="AM183">
        <f>IF(OR(Table1[[#This Row],[marital_Married]]=1,Table1[[#This Row],[marital_Together]]=1),1,0)</f>
        <v>1</v>
      </c>
      <c r="AN183" t="str">
        <f>IF(Table1[[#This Row],[Income]]&gt;=70000,"HIGH INCOME","LOW INCOME")</f>
        <v>LOW INCOME</v>
      </c>
      <c r="AO183" s="1" t="str">
        <f>IF(Table1[[#This Row],[MNT_TOTAL]]&gt;=900,"HIGH VALUE","LOW VALUE")</f>
        <v>LOW VALUE</v>
      </c>
      <c r="AP1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3" s="1"/>
      <c r="AR183" s="1"/>
    </row>
    <row r="184" spans="1:44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43</v>
      </c>
      <c r="X184">
        <v>2341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24</v>
      </c>
      <c r="AJ184">
        <v>17</v>
      </c>
      <c r="AK184">
        <v>0</v>
      </c>
      <c r="AL184">
        <f t="shared" si="2"/>
        <v>31</v>
      </c>
      <c r="AM184">
        <f>IF(OR(Table1[[#This Row],[marital_Married]]=1,Table1[[#This Row],[marital_Together]]=1),1,0)</f>
        <v>1</v>
      </c>
      <c r="AN184" t="str">
        <f>IF(Table1[[#This Row],[Income]]&gt;=70000,"HIGH INCOME","LOW INCOME")</f>
        <v>LOW INCOME</v>
      </c>
      <c r="AO184" s="1" t="str">
        <f>IF(Table1[[#This Row],[MNT_TOTAL]]&gt;=900,"HIGH VALUE","LOW VALUE")</f>
        <v>LOW VALUE</v>
      </c>
      <c r="AP1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4" s="1"/>
      <c r="AR184" s="1"/>
    </row>
    <row r="185" spans="1:44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40</v>
      </c>
      <c r="X185">
        <v>2206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826</v>
      </c>
      <c r="AJ185">
        <v>818</v>
      </c>
      <c r="AK185">
        <v>0</v>
      </c>
      <c r="AL185">
        <f t="shared" si="2"/>
        <v>834</v>
      </c>
      <c r="AM185">
        <f>IF(OR(Table1[[#This Row],[marital_Married]]=1,Table1[[#This Row],[marital_Together]]=1),1,0)</f>
        <v>1</v>
      </c>
      <c r="AN185" t="str">
        <f>IF(Table1[[#This Row],[Income]]&gt;=70000,"HIGH INCOME","LOW INCOME")</f>
        <v>LOW INCOME</v>
      </c>
      <c r="AO185" s="1" t="str">
        <f>IF(Table1[[#This Row],[MNT_TOTAL]]&gt;=900,"HIGH VALUE","LOW VALUE")</f>
        <v>LOW VALUE</v>
      </c>
      <c r="AP1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5" s="1"/>
      <c r="AR185" s="1"/>
    </row>
    <row r="186" spans="1:44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66</v>
      </c>
      <c r="X186">
        <v>2442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1549</v>
      </c>
      <c r="AJ186">
        <v>1498</v>
      </c>
      <c r="AK186">
        <v>1</v>
      </c>
      <c r="AL186">
        <f t="shared" si="2"/>
        <v>1600</v>
      </c>
      <c r="AM186">
        <f>IF(OR(Table1[[#This Row],[marital_Married]]=1,Table1[[#This Row],[marital_Together]]=1),1,0)</f>
        <v>1</v>
      </c>
      <c r="AN186" t="str">
        <f>IF(Table1[[#This Row],[Income]]&gt;=70000,"HIGH INCOME","LOW INCOME")</f>
        <v>HIGH INCOME</v>
      </c>
      <c r="AO186" s="1" t="str">
        <f>IF(Table1[[#This Row],[MNT_TOTAL]]&gt;=900,"HIGH VALUE","LOW VALUE")</f>
        <v>HIGH VALUE</v>
      </c>
      <c r="AP1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6" s="1"/>
      <c r="AR186" s="1"/>
    </row>
    <row r="187" spans="1:44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66</v>
      </c>
      <c r="X187">
        <v>2687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1098</v>
      </c>
      <c r="AJ187">
        <v>926</v>
      </c>
      <c r="AK187">
        <v>0</v>
      </c>
      <c r="AL187">
        <f t="shared" si="2"/>
        <v>1270</v>
      </c>
      <c r="AM187">
        <f>IF(OR(Table1[[#This Row],[marital_Married]]=1,Table1[[#This Row],[marital_Together]]=1),1,0)</f>
        <v>1</v>
      </c>
      <c r="AN187" t="str">
        <f>IF(Table1[[#This Row],[Income]]&gt;=70000,"HIGH INCOME","LOW INCOME")</f>
        <v>HIGH INCOME</v>
      </c>
      <c r="AO187" s="1" t="str">
        <f>IF(Table1[[#This Row],[MNT_TOTAL]]&gt;=900,"HIGH VALUE","LOW VALUE")</f>
        <v>HIGH VALUE</v>
      </c>
      <c r="AP1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7" s="1"/>
      <c r="AR187" s="1"/>
    </row>
    <row r="188" spans="1:44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47</v>
      </c>
      <c r="X188">
        <v>2249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184</v>
      </c>
      <c r="AJ188">
        <v>105</v>
      </c>
      <c r="AK188">
        <v>1</v>
      </c>
      <c r="AL188">
        <f t="shared" si="2"/>
        <v>263</v>
      </c>
      <c r="AM188">
        <f>IF(OR(Table1[[#This Row],[marital_Married]]=1,Table1[[#This Row],[marital_Together]]=1),1,0)</f>
        <v>0</v>
      </c>
      <c r="AN188" t="str">
        <f>IF(Table1[[#This Row],[Income]]&gt;=70000,"HIGH INCOME","LOW INCOME")</f>
        <v>LOW INCOME</v>
      </c>
      <c r="AO188" s="1" t="str">
        <f>IF(Table1[[#This Row],[MNT_TOTAL]]&gt;=900,"HIGH VALUE","LOW VALUE")</f>
        <v>LOW VALUE</v>
      </c>
      <c r="AP1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8" s="1"/>
      <c r="AR188" s="1"/>
    </row>
    <row r="189" spans="1:44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68</v>
      </c>
      <c r="X189">
        <v>2159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496</v>
      </c>
      <c r="AJ189">
        <v>457</v>
      </c>
      <c r="AK189">
        <v>1</v>
      </c>
      <c r="AL189">
        <f t="shared" si="2"/>
        <v>535</v>
      </c>
      <c r="AM189">
        <f>IF(OR(Table1[[#This Row],[marital_Married]]=1,Table1[[#This Row],[marital_Together]]=1),1,0)</f>
        <v>0</v>
      </c>
      <c r="AN189" t="str">
        <f>IF(Table1[[#This Row],[Income]]&gt;=70000,"HIGH INCOME","LOW INCOME")</f>
        <v>LOW INCOME</v>
      </c>
      <c r="AO189" s="1" t="str">
        <f>IF(Table1[[#This Row],[MNT_TOTAL]]&gt;=900,"HIGH VALUE","LOW VALUE")</f>
        <v>LOW VALUE</v>
      </c>
      <c r="AP1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" s="1"/>
      <c r="AR189" s="1"/>
    </row>
    <row r="190" spans="1:44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52</v>
      </c>
      <c r="X190">
        <v>2361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1203</v>
      </c>
      <c r="AJ190">
        <v>1111</v>
      </c>
      <c r="AK190">
        <v>0</v>
      </c>
      <c r="AL190">
        <f t="shared" si="2"/>
        <v>1295</v>
      </c>
      <c r="AM190">
        <f>IF(OR(Table1[[#This Row],[marital_Married]]=1,Table1[[#This Row],[marital_Together]]=1),1,0)</f>
        <v>0</v>
      </c>
      <c r="AN190" t="str">
        <f>IF(Table1[[#This Row],[Income]]&gt;=70000,"HIGH INCOME","LOW INCOME")</f>
        <v>HIGH INCOME</v>
      </c>
      <c r="AO190" s="1" t="str">
        <f>IF(Table1[[#This Row],[MNT_TOTAL]]&gt;=900,"HIGH VALUE","LOW VALUE")</f>
        <v>HIGH VALUE</v>
      </c>
      <c r="AP1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0" s="1"/>
      <c r="AR190" s="1"/>
    </row>
    <row r="191" spans="1:44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42</v>
      </c>
      <c r="X191">
        <v>2417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1096</v>
      </c>
      <c r="AJ191">
        <v>1042</v>
      </c>
      <c r="AK191">
        <v>0</v>
      </c>
      <c r="AL191">
        <f t="shared" si="2"/>
        <v>1150</v>
      </c>
      <c r="AM191">
        <f>IF(OR(Table1[[#This Row],[marital_Married]]=1,Table1[[#This Row],[marital_Together]]=1),1,0)</f>
        <v>0</v>
      </c>
      <c r="AN191" t="str">
        <f>IF(Table1[[#This Row],[Income]]&gt;=70000,"HIGH INCOME","LOW INCOME")</f>
        <v>LOW INCOME</v>
      </c>
      <c r="AO191" s="1" t="str">
        <f>IF(Table1[[#This Row],[MNT_TOTAL]]&gt;=900,"HIGH VALUE","LOW VALUE")</f>
        <v>HIGH VALUE</v>
      </c>
      <c r="AP1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1" s="1"/>
      <c r="AR191" s="1"/>
    </row>
    <row r="192" spans="1:44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43</v>
      </c>
      <c r="X192">
        <v>2763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1182</v>
      </c>
      <c r="AJ192">
        <v>1124</v>
      </c>
      <c r="AK192">
        <v>3</v>
      </c>
      <c r="AL192">
        <f t="shared" si="2"/>
        <v>1240</v>
      </c>
      <c r="AM192">
        <f>IF(OR(Table1[[#This Row],[marital_Married]]=1,Table1[[#This Row],[marital_Together]]=1),1,0)</f>
        <v>1</v>
      </c>
      <c r="AN192" t="str">
        <f>IF(Table1[[#This Row],[Income]]&gt;=70000,"HIGH INCOME","LOW INCOME")</f>
        <v>HIGH INCOME</v>
      </c>
      <c r="AO192" s="1" t="str">
        <f>IF(Table1[[#This Row],[MNT_TOTAL]]&gt;=900,"HIGH VALUE","LOW VALUE")</f>
        <v>HIGH VALUE</v>
      </c>
      <c r="AP1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2" s="1"/>
      <c r="AR192" s="1"/>
    </row>
    <row r="193" spans="1:44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55</v>
      </c>
      <c r="X193">
        <v>2506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35</v>
      </c>
      <c r="AJ193">
        <v>32</v>
      </c>
      <c r="AK193">
        <v>0</v>
      </c>
      <c r="AL193">
        <f t="shared" si="2"/>
        <v>38</v>
      </c>
      <c r="AM193">
        <f>IF(OR(Table1[[#This Row],[marital_Married]]=1,Table1[[#This Row],[marital_Together]]=1),1,0)</f>
        <v>0</v>
      </c>
      <c r="AN193" t="str">
        <f>IF(Table1[[#This Row],[Income]]&gt;=70000,"HIGH INCOME","LOW INCOME")</f>
        <v>LOW INCOME</v>
      </c>
      <c r="AO193" s="1" t="str">
        <f>IF(Table1[[#This Row],[MNT_TOTAL]]&gt;=900,"HIGH VALUE","LOW VALUE")</f>
        <v>LOW VALUE</v>
      </c>
      <c r="AP1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3" s="1"/>
      <c r="AR193" s="1"/>
    </row>
    <row r="194" spans="1:44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36</v>
      </c>
      <c r="X194">
        <v>2755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20</v>
      </c>
      <c r="AJ194">
        <v>5</v>
      </c>
      <c r="AK194">
        <v>1</v>
      </c>
      <c r="AL194">
        <f t="shared" ref="AL194:AL257" si="3">SUM(E194:J194)</f>
        <v>35</v>
      </c>
      <c r="AM194">
        <f>IF(OR(Table1[[#This Row],[marital_Married]]=1,Table1[[#This Row],[marital_Together]]=1),1,0)</f>
        <v>0</v>
      </c>
      <c r="AN194" t="str">
        <f>IF(Table1[[#This Row],[Income]]&gt;=70000,"HIGH INCOME","LOW INCOME")</f>
        <v>LOW INCOME</v>
      </c>
      <c r="AO194" s="1" t="str">
        <f>IF(Table1[[#This Row],[MNT_TOTAL]]&gt;=900,"HIGH VALUE","LOW VALUE")</f>
        <v>LOW VALUE</v>
      </c>
      <c r="AP1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4" s="1"/>
      <c r="AR194" s="1"/>
    </row>
    <row r="195" spans="1:44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32</v>
      </c>
      <c r="X195">
        <v>2362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39</v>
      </c>
      <c r="AJ195">
        <v>25</v>
      </c>
      <c r="AK195">
        <v>1</v>
      </c>
      <c r="AL195">
        <f t="shared" si="3"/>
        <v>53</v>
      </c>
      <c r="AM195">
        <f>IF(OR(Table1[[#This Row],[marital_Married]]=1,Table1[[#This Row],[marital_Together]]=1),1,0)</f>
        <v>1</v>
      </c>
      <c r="AN195" t="str">
        <f>IF(Table1[[#This Row],[Income]]&gt;=70000,"HIGH INCOME","LOW INCOME")</f>
        <v>LOW INCOME</v>
      </c>
      <c r="AO195" s="1" t="str">
        <f>IF(Table1[[#This Row],[MNT_TOTAL]]&gt;=900,"HIGH VALUE","LOW VALUE")</f>
        <v>LOW VALUE</v>
      </c>
      <c r="AP1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" s="1"/>
      <c r="AR195" s="1"/>
    </row>
    <row r="196" spans="1:44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57</v>
      </c>
      <c r="X196">
        <v>2571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272</v>
      </c>
      <c r="AJ196">
        <v>251</v>
      </c>
      <c r="AK196">
        <v>0</v>
      </c>
      <c r="AL196">
        <f t="shared" si="3"/>
        <v>293</v>
      </c>
      <c r="AM196">
        <f>IF(OR(Table1[[#This Row],[marital_Married]]=1,Table1[[#This Row],[marital_Together]]=1),1,0)</f>
        <v>0</v>
      </c>
      <c r="AN196" t="str">
        <f>IF(Table1[[#This Row],[Income]]&gt;=70000,"HIGH INCOME","LOW INCOME")</f>
        <v>LOW INCOME</v>
      </c>
      <c r="AO196" s="1" t="str">
        <f>IF(Table1[[#This Row],[MNT_TOTAL]]&gt;=900,"HIGH VALUE","LOW VALUE")</f>
        <v>LOW VALUE</v>
      </c>
      <c r="AP1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6" s="1"/>
      <c r="AR196" s="1"/>
    </row>
    <row r="197" spans="1:44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54</v>
      </c>
      <c r="X197">
        <v>2180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61</v>
      </c>
      <c r="AJ197">
        <v>57</v>
      </c>
      <c r="AK197">
        <v>0</v>
      </c>
      <c r="AL197">
        <f t="shared" si="3"/>
        <v>65</v>
      </c>
      <c r="AM197">
        <f>IF(OR(Table1[[#This Row],[marital_Married]]=1,Table1[[#This Row],[marital_Together]]=1),1,0)</f>
        <v>1</v>
      </c>
      <c r="AN197" t="str">
        <f>IF(Table1[[#This Row],[Income]]&gt;=70000,"HIGH INCOME","LOW INCOME")</f>
        <v>LOW INCOME</v>
      </c>
      <c r="AO197" s="1" t="str">
        <f>IF(Table1[[#This Row],[MNT_TOTAL]]&gt;=900,"HIGH VALUE","LOW VALUE")</f>
        <v>LOW VALUE</v>
      </c>
      <c r="AP1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7" s="1"/>
      <c r="AR197" s="1"/>
    </row>
    <row r="198" spans="1:44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66</v>
      </c>
      <c r="X198">
        <v>2816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1612</v>
      </c>
      <c r="AJ198">
        <v>1420</v>
      </c>
      <c r="AK198">
        <v>1</v>
      </c>
      <c r="AL198">
        <f t="shared" si="3"/>
        <v>1804</v>
      </c>
      <c r="AM198">
        <f>IF(OR(Table1[[#This Row],[marital_Married]]=1,Table1[[#This Row],[marital_Together]]=1),1,0)</f>
        <v>0</v>
      </c>
      <c r="AN198" t="str">
        <f>IF(Table1[[#This Row],[Income]]&gt;=70000,"HIGH INCOME","LOW INCOME")</f>
        <v>LOW INCOME</v>
      </c>
      <c r="AO198" s="1" t="str">
        <f>IF(Table1[[#This Row],[MNT_TOTAL]]&gt;=900,"HIGH VALUE","LOW VALUE")</f>
        <v>HIGH VALUE</v>
      </c>
      <c r="AP1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" s="1"/>
      <c r="AR198" s="1"/>
    </row>
    <row r="199" spans="1:44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64</v>
      </c>
      <c r="X199">
        <v>2614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233</v>
      </c>
      <c r="AJ199">
        <v>225</v>
      </c>
      <c r="AK199">
        <v>0</v>
      </c>
      <c r="AL199">
        <f t="shared" si="3"/>
        <v>241</v>
      </c>
      <c r="AM199">
        <f>IF(OR(Table1[[#This Row],[marital_Married]]=1,Table1[[#This Row],[marital_Together]]=1),1,0)</f>
        <v>1</v>
      </c>
      <c r="AN199" t="str">
        <f>IF(Table1[[#This Row],[Income]]&gt;=70000,"HIGH INCOME","LOW INCOME")</f>
        <v>LOW INCOME</v>
      </c>
      <c r="AO199" s="1" t="str">
        <f>IF(Table1[[#This Row],[MNT_TOTAL]]&gt;=900,"HIGH VALUE","LOW VALUE")</f>
        <v>LOW VALUE</v>
      </c>
      <c r="AP1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" s="1"/>
      <c r="AR199" s="1"/>
    </row>
    <row r="200" spans="1:44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66</v>
      </c>
      <c r="X200">
        <v>2262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1089</v>
      </c>
      <c r="AJ200">
        <v>1077</v>
      </c>
      <c r="AK200">
        <v>0</v>
      </c>
      <c r="AL200">
        <f t="shared" si="3"/>
        <v>1101</v>
      </c>
      <c r="AM200">
        <f>IF(OR(Table1[[#This Row],[marital_Married]]=1,Table1[[#This Row],[marital_Together]]=1),1,0)</f>
        <v>1</v>
      </c>
      <c r="AN200" t="str">
        <f>IF(Table1[[#This Row],[Income]]&gt;=70000,"HIGH INCOME","LOW INCOME")</f>
        <v>HIGH INCOME</v>
      </c>
      <c r="AO200" s="1" t="str">
        <f>IF(Table1[[#This Row],[MNT_TOTAL]]&gt;=900,"HIGH VALUE","LOW VALUE")</f>
        <v>HIGH VALUE</v>
      </c>
      <c r="AP2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0" s="1"/>
      <c r="AR200" s="1"/>
    </row>
    <row r="201" spans="1:44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52</v>
      </c>
      <c r="X201">
        <v>2791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254</v>
      </c>
      <c r="AJ201">
        <v>244</v>
      </c>
      <c r="AK201">
        <v>0</v>
      </c>
      <c r="AL201">
        <f t="shared" si="3"/>
        <v>264</v>
      </c>
      <c r="AM201">
        <f>IF(OR(Table1[[#This Row],[marital_Married]]=1,Table1[[#This Row],[marital_Together]]=1),1,0)</f>
        <v>1</v>
      </c>
      <c r="AN201" t="str">
        <f>IF(Table1[[#This Row],[Income]]&gt;=70000,"HIGH INCOME","LOW INCOME")</f>
        <v>LOW INCOME</v>
      </c>
      <c r="AO201" s="1" t="str">
        <f>IF(Table1[[#This Row],[MNT_TOTAL]]&gt;=900,"HIGH VALUE","LOW VALUE")</f>
        <v>LOW VALUE</v>
      </c>
      <c r="AP2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" s="1"/>
      <c r="AR201" s="1"/>
    </row>
    <row r="202" spans="1:44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46</v>
      </c>
      <c r="X202">
        <v>2683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497</v>
      </c>
      <c r="AJ202">
        <v>453</v>
      </c>
      <c r="AK202">
        <v>0</v>
      </c>
      <c r="AL202">
        <f t="shared" si="3"/>
        <v>541</v>
      </c>
      <c r="AM202">
        <f>IF(OR(Table1[[#This Row],[marital_Married]]=1,Table1[[#This Row],[marital_Together]]=1),1,0)</f>
        <v>1</v>
      </c>
      <c r="AN202" t="str">
        <f>IF(Table1[[#This Row],[Income]]&gt;=70000,"HIGH INCOME","LOW INCOME")</f>
        <v>LOW INCOME</v>
      </c>
      <c r="AO202" s="1" t="str">
        <f>IF(Table1[[#This Row],[MNT_TOTAL]]&gt;=900,"HIGH VALUE","LOW VALUE")</f>
        <v>LOW VALUE</v>
      </c>
      <c r="AP2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2" s="1"/>
      <c r="AR202" s="1"/>
    </row>
    <row r="203" spans="1:44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35</v>
      </c>
      <c r="X203">
        <v>2580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1144</v>
      </c>
      <c r="AJ203">
        <v>1090</v>
      </c>
      <c r="AK203">
        <v>0</v>
      </c>
      <c r="AL203">
        <f t="shared" si="3"/>
        <v>1198</v>
      </c>
      <c r="AM203">
        <f>IF(OR(Table1[[#This Row],[marital_Married]]=1,Table1[[#This Row],[marital_Together]]=1),1,0)</f>
        <v>1</v>
      </c>
      <c r="AN203" t="str">
        <f>IF(Table1[[#This Row],[Income]]&gt;=70000,"HIGH INCOME","LOW INCOME")</f>
        <v>HIGH INCOME</v>
      </c>
      <c r="AO203" s="1" t="str">
        <f>IF(Table1[[#This Row],[MNT_TOTAL]]&gt;=900,"HIGH VALUE","LOW VALUE")</f>
        <v>HIGH VALUE</v>
      </c>
      <c r="AP2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3" s="1"/>
      <c r="AR203" s="1"/>
    </row>
    <row r="204" spans="1:44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43</v>
      </c>
      <c r="X204">
        <v>2248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393</v>
      </c>
      <c r="AJ204">
        <v>304</v>
      </c>
      <c r="AK204">
        <v>0</v>
      </c>
      <c r="AL204">
        <f t="shared" si="3"/>
        <v>482</v>
      </c>
      <c r="AM204">
        <f>IF(OR(Table1[[#This Row],[marital_Married]]=1,Table1[[#This Row],[marital_Together]]=1),1,0)</f>
        <v>1</v>
      </c>
      <c r="AN204" t="str">
        <f>IF(Table1[[#This Row],[Income]]&gt;=70000,"HIGH INCOME","LOW INCOME")</f>
        <v>LOW INCOME</v>
      </c>
      <c r="AO204" s="1" t="str">
        <f>IF(Table1[[#This Row],[MNT_TOTAL]]&gt;=900,"HIGH VALUE","LOW VALUE")</f>
        <v>LOW VALUE</v>
      </c>
      <c r="AP2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" s="1"/>
      <c r="AR204" s="1"/>
    </row>
    <row r="205" spans="1:44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42</v>
      </c>
      <c r="X205">
        <v>2207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16</v>
      </c>
      <c r="AJ205">
        <v>15</v>
      </c>
      <c r="AK205">
        <v>0</v>
      </c>
      <c r="AL205">
        <f t="shared" si="3"/>
        <v>17</v>
      </c>
      <c r="AM205">
        <f>IF(OR(Table1[[#This Row],[marital_Married]]=1,Table1[[#This Row],[marital_Together]]=1),1,0)</f>
        <v>0</v>
      </c>
      <c r="AN205" t="str">
        <f>IF(Table1[[#This Row],[Income]]&gt;=70000,"HIGH INCOME","LOW INCOME")</f>
        <v>LOW INCOME</v>
      </c>
      <c r="AO205" s="1" t="str">
        <f>IF(Table1[[#This Row],[MNT_TOTAL]]&gt;=900,"HIGH VALUE","LOW VALUE")</f>
        <v>LOW VALUE</v>
      </c>
      <c r="AP2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5" s="1"/>
      <c r="AR205" s="1"/>
    </row>
    <row r="206" spans="1:44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72</v>
      </c>
      <c r="X206">
        <v>2385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1599</v>
      </c>
      <c r="AJ206">
        <v>1583</v>
      </c>
      <c r="AK206">
        <v>2</v>
      </c>
      <c r="AL206">
        <f t="shared" si="3"/>
        <v>1615</v>
      </c>
      <c r="AM206">
        <f>IF(OR(Table1[[#This Row],[marital_Married]]=1,Table1[[#This Row],[marital_Together]]=1),1,0)</f>
        <v>1</v>
      </c>
      <c r="AN206" t="str">
        <f>IF(Table1[[#This Row],[Income]]&gt;=70000,"HIGH INCOME","LOW INCOME")</f>
        <v>HIGH INCOME</v>
      </c>
      <c r="AO206" s="1" t="str">
        <f>IF(Table1[[#This Row],[MNT_TOTAL]]&gt;=900,"HIGH VALUE","LOW VALUE")</f>
        <v>HIGH VALUE</v>
      </c>
      <c r="AP2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6" s="1"/>
      <c r="AR206" s="1"/>
    </row>
    <row r="207" spans="1:44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66</v>
      </c>
      <c r="X207">
        <v>2461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219</v>
      </c>
      <c r="AJ207">
        <v>153</v>
      </c>
      <c r="AK207">
        <v>0</v>
      </c>
      <c r="AL207">
        <f t="shared" si="3"/>
        <v>285</v>
      </c>
      <c r="AM207">
        <f>IF(OR(Table1[[#This Row],[marital_Married]]=1,Table1[[#This Row],[marital_Together]]=1),1,0)</f>
        <v>0</v>
      </c>
      <c r="AN207" t="str">
        <f>IF(Table1[[#This Row],[Income]]&gt;=70000,"HIGH INCOME","LOW INCOME")</f>
        <v>LOW INCOME</v>
      </c>
      <c r="AO207" s="1" t="str">
        <f>IF(Table1[[#This Row],[MNT_TOTAL]]&gt;=900,"HIGH VALUE","LOW VALUE")</f>
        <v>LOW VALUE</v>
      </c>
      <c r="AP2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7" s="1"/>
      <c r="AR207" s="1"/>
    </row>
    <row r="208" spans="1:44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40</v>
      </c>
      <c r="X208">
        <v>2751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1092</v>
      </c>
      <c r="AJ208">
        <v>1049</v>
      </c>
      <c r="AK208">
        <v>0</v>
      </c>
      <c r="AL208">
        <f t="shared" si="3"/>
        <v>1135</v>
      </c>
      <c r="AM208">
        <f>IF(OR(Table1[[#This Row],[marital_Married]]=1,Table1[[#This Row],[marital_Together]]=1),1,0)</f>
        <v>1</v>
      </c>
      <c r="AN208" t="str">
        <f>IF(Table1[[#This Row],[Income]]&gt;=70000,"HIGH INCOME","LOW INCOME")</f>
        <v>LOW INCOME</v>
      </c>
      <c r="AO208" s="1" t="str">
        <f>IF(Table1[[#This Row],[MNT_TOTAL]]&gt;=900,"HIGH VALUE","LOW VALUE")</f>
        <v>HIGH VALUE</v>
      </c>
      <c r="AP2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" s="1"/>
      <c r="AR208" s="1"/>
    </row>
    <row r="209" spans="1:44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32</v>
      </c>
      <c r="X209">
        <v>2238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96</v>
      </c>
      <c r="AJ209">
        <v>78</v>
      </c>
      <c r="AK209">
        <v>0</v>
      </c>
      <c r="AL209">
        <f t="shared" si="3"/>
        <v>114</v>
      </c>
      <c r="AM209">
        <f>IF(OR(Table1[[#This Row],[marital_Married]]=1,Table1[[#This Row],[marital_Together]]=1),1,0)</f>
        <v>1</v>
      </c>
      <c r="AN209" t="str">
        <f>IF(Table1[[#This Row],[Income]]&gt;=70000,"HIGH INCOME","LOW INCOME")</f>
        <v>LOW INCOME</v>
      </c>
      <c r="AO209" s="1" t="str">
        <f>IF(Table1[[#This Row],[MNT_TOTAL]]&gt;=900,"HIGH VALUE","LOW VALUE")</f>
        <v>LOW VALUE</v>
      </c>
      <c r="AP2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" s="1"/>
      <c r="AR209" s="1"/>
    </row>
    <row r="210" spans="1:44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51</v>
      </c>
      <c r="X210">
        <v>2386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1037</v>
      </c>
      <c r="AJ210">
        <v>1027</v>
      </c>
      <c r="AK210">
        <v>0</v>
      </c>
      <c r="AL210">
        <f t="shared" si="3"/>
        <v>1047</v>
      </c>
      <c r="AM210">
        <f>IF(OR(Table1[[#This Row],[marital_Married]]=1,Table1[[#This Row],[marital_Together]]=1),1,0)</f>
        <v>1</v>
      </c>
      <c r="AN210" t="str">
        <f>IF(Table1[[#This Row],[Income]]&gt;=70000,"HIGH INCOME","LOW INCOME")</f>
        <v>HIGH INCOME</v>
      </c>
      <c r="AO210" s="1" t="str">
        <f>IF(Table1[[#This Row],[MNT_TOTAL]]&gt;=900,"HIGH VALUE","LOW VALUE")</f>
        <v>HIGH VALUE</v>
      </c>
      <c r="AP2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0" s="1"/>
      <c r="AR210" s="1"/>
    </row>
    <row r="211" spans="1:44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50</v>
      </c>
      <c r="X211">
        <v>2235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700</v>
      </c>
      <c r="AJ211">
        <v>686</v>
      </c>
      <c r="AK211">
        <v>0</v>
      </c>
      <c r="AL211">
        <f t="shared" si="3"/>
        <v>714</v>
      </c>
      <c r="AM211">
        <f>IF(OR(Table1[[#This Row],[marital_Married]]=1,Table1[[#This Row],[marital_Together]]=1),1,0)</f>
        <v>1</v>
      </c>
      <c r="AN211" t="str">
        <f>IF(Table1[[#This Row],[Income]]&gt;=70000,"HIGH INCOME","LOW INCOME")</f>
        <v>HIGH INCOME</v>
      </c>
      <c r="AO211" s="1" t="str">
        <f>IF(Table1[[#This Row],[MNT_TOTAL]]&gt;=900,"HIGH VALUE","LOW VALUE")</f>
        <v>LOW VALUE</v>
      </c>
      <c r="AP2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1" s="1"/>
      <c r="AR211" s="1"/>
    </row>
    <row r="212" spans="1:44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40</v>
      </c>
      <c r="X212">
        <v>2699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182</v>
      </c>
      <c r="AJ212">
        <v>179</v>
      </c>
      <c r="AK212">
        <v>0</v>
      </c>
      <c r="AL212">
        <f t="shared" si="3"/>
        <v>185</v>
      </c>
      <c r="AM212">
        <f>IF(OR(Table1[[#This Row],[marital_Married]]=1,Table1[[#This Row],[marital_Together]]=1),1,0)</f>
        <v>1</v>
      </c>
      <c r="AN212" t="str">
        <f>IF(Table1[[#This Row],[Income]]&gt;=70000,"HIGH INCOME","LOW INCOME")</f>
        <v>LOW INCOME</v>
      </c>
      <c r="AO212" s="1" t="str">
        <f>IF(Table1[[#This Row],[MNT_TOTAL]]&gt;=900,"HIGH VALUE","LOW VALUE")</f>
        <v>LOW VALUE</v>
      </c>
      <c r="AP2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" s="1"/>
      <c r="AR212" s="1"/>
    </row>
    <row r="213" spans="1:44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58</v>
      </c>
      <c r="X213">
        <v>2818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1153</v>
      </c>
      <c r="AJ213">
        <v>1061</v>
      </c>
      <c r="AK213">
        <v>0</v>
      </c>
      <c r="AL213">
        <f t="shared" si="3"/>
        <v>1245</v>
      </c>
      <c r="AM213">
        <f>IF(OR(Table1[[#This Row],[marital_Married]]=1,Table1[[#This Row],[marital_Together]]=1),1,0)</f>
        <v>0</v>
      </c>
      <c r="AN213" t="str">
        <f>IF(Table1[[#This Row],[Income]]&gt;=70000,"HIGH INCOME","LOW INCOME")</f>
        <v>LOW INCOME</v>
      </c>
      <c r="AO213" s="1" t="str">
        <f>IF(Table1[[#This Row],[MNT_TOTAL]]&gt;=900,"HIGH VALUE","LOW VALUE")</f>
        <v>HIGH VALUE</v>
      </c>
      <c r="AP2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3" s="1"/>
      <c r="AR213" s="1"/>
    </row>
    <row r="214" spans="1:44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42</v>
      </c>
      <c r="X214">
        <v>2619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150</v>
      </c>
      <c r="AJ214">
        <v>111</v>
      </c>
      <c r="AK214">
        <v>0</v>
      </c>
      <c r="AL214">
        <f t="shared" si="3"/>
        <v>189</v>
      </c>
      <c r="AM214">
        <f>IF(OR(Table1[[#This Row],[marital_Married]]=1,Table1[[#This Row],[marital_Together]]=1),1,0)</f>
        <v>1</v>
      </c>
      <c r="AN214" t="str">
        <f>IF(Table1[[#This Row],[Income]]&gt;=70000,"HIGH INCOME","LOW INCOME")</f>
        <v>LOW INCOME</v>
      </c>
      <c r="AO214" s="1" t="str">
        <f>IF(Table1[[#This Row],[MNT_TOTAL]]&gt;=900,"HIGH VALUE","LOW VALUE")</f>
        <v>LOW VALUE</v>
      </c>
      <c r="AP2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" s="1"/>
      <c r="AR214" s="1"/>
    </row>
    <row r="215" spans="1:44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44</v>
      </c>
      <c r="X215">
        <v>2771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394</v>
      </c>
      <c r="AJ215">
        <v>212</v>
      </c>
      <c r="AK215">
        <v>0</v>
      </c>
      <c r="AL215">
        <f t="shared" si="3"/>
        <v>576</v>
      </c>
      <c r="AM215">
        <f>IF(OR(Table1[[#This Row],[marital_Married]]=1,Table1[[#This Row],[marital_Together]]=1),1,0)</f>
        <v>1</v>
      </c>
      <c r="AN215" t="str">
        <f>IF(Table1[[#This Row],[Income]]&gt;=70000,"HIGH INCOME","LOW INCOME")</f>
        <v>LOW INCOME</v>
      </c>
      <c r="AO215" s="1" t="str">
        <f>IF(Table1[[#This Row],[MNT_TOTAL]]&gt;=900,"HIGH VALUE","LOW VALUE")</f>
        <v>LOW VALUE</v>
      </c>
      <c r="AP2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5" s="1"/>
      <c r="AR215" s="1"/>
    </row>
    <row r="216" spans="1:44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68</v>
      </c>
      <c r="X216">
        <v>2726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1011</v>
      </c>
      <c r="AJ216">
        <v>919</v>
      </c>
      <c r="AK216">
        <v>0</v>
      </c>
      <c r="AL216">
        <f t="shared" si="3"/>
        <v>1103</v>
      </c>
      <c r="AM216">
        <f>IF(OR(Table1[[#This Row],[marital_Married]]=1,Table1[[#This Row],[marital_Together]]=1),1,0)</f>
        <v>0</v>
      </c>
      <c r="AN216" t="str">
        <f>IF(Table1[[#This Row],[Income]]&gt;=70000,"HIGH INCOME","LOW INCOME")</f>
        <v>LOW INCOME</v>
      </c>
      <c r="AO216" s="1" t="str">
        <f>IF(Table1[[#This Row],[MNT_TOTAL]]&gt;=900,"HIGH VALUE","LOW VALUE")</f>
        <v>HIGH VALUE</v>
      </c>
      <c r="AP2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6" s="1"/>
      <c r="AR216" s="1"/>
    </row>
    <row r="217" spans="1:44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48</v>
      </c>
      <c r="X217">
        <v>2849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1736</v>
      </c>
      <c r="AJ217">
        <v>1719</v>
      </c>
      <c r="AK217">
        <v>0</v>
      </c>
      <c r="AL217">
        <f t="shared" si="3"/>
        <v>1753</v>
      </c>
      <c r="AM217">
        <f>IF(OR(Table1[[#This Row],[marital_Married]]=1,Table1[[#This Row],[marital_Together]]=1),1,0)</f>
        <v>1</v>
      </c>
      <c r="AN217" t="str">
        <f>IF(Table1[[#This Row],[Income]]&gt;=70000,"HIGH INCOME","LOW INCOME")</f>
        <v>HIGH INCOME</v>
      </c>
      <c r="AO217" s="1" t="str">
        <f>IF(Table1[[#This Row],[MNT_TOTAL]]&gt;=900,"HIGH VALUE","LOW VALUE")</f>
        <v>HIGH VALUE</v>
      </c>
      <c r="AP2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7" s="1"/>
      <c r="AR217" s="1"/>
    </row>
    <row r="218" spans="1:44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34</v>
      </c>
      <c r="X218">
        <v>2292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17</v>
      </c>
      <c r="AJ218">
        <v>17</v>
      </c>
      <c r="AK218">
        <v>0</v>
      </c>
      <c r="AL218">
        <f t="shared" si="3"/>
        <v>17</v>
      </c>
      <c r="AM218">
        <f>IF(OR(Table1[[#This Row],[marital_Married]]=1,Table1[[#This Row],[marital_Together]]=1),1,0)</f>
        <v>1</v>
      </c>
      <c r="AN218" t="str">
        <f>IF(Table1[[#This Row],[Income]]&gt;=70000,"HIGH INCOME","LOW INCOME")</f>
        <v>LOW INCOME</v>
      </c>
      <c r="AO218" s="1" t="str">
        <f>IF(Table1[[#This Row],[MNT_TOTAL]]&gt;=900,"HIGH VALUE","LOW VALUE")</f>
        <v>LOW VALUE</v>
      </c>
      <c r="AP2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" s="1"/>
      <c r="AR218" s="1"/>
    </row>
    <row r="219" spans="1:44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54</v>
      </c>
      <c r="X219">
        <v>2625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394</v>
      </c>
      <c r="AJ219">
        <v>355</v>
      </c>
      <c r="AK219">
        <v>0</v>
      </c>
      <c r="AL219">
        <f t="shared" si="3"/>
        <v>433</v>
      </c>
      <c r="AM219">
        <f>IF(OR(Table1[[#This Row],[marital_Married]]=1,Table1[[#This Row],[marital_Together]]=1),1,0)</f>
        <v>0</v>
      </c>
      <c r="AN219" t="str">
        <f>IF(Table1[[#This Row],[Income]]&gt;=70000,"HIGH INCOME","LOW INCOME")</f>
        <v>LOW INCOME</v>
      </c>
      <c r="AO219" s="1" t="str">
        <f>IF(Table1[[#This Row],[MNT_TOTAL]]&gt;=900,"HIGH VALUE","LOW VALUE")</f>
        <v>LOW VALUE</v>
      </c>
      <c r="AP2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9" s="1"/>
      <c r="AR219" s="1"/>
    </row>
    <row r="220" spans="1:44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58</v>
      </c>
      <c r="X220">
        <v>2699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1561</v>
      </c>
      <c r="AJ220">
        <v>1534</v>
      </c>
      <c r="AK220">
        <v>1</v>
      </c>
      <c r="AL220">
        <f t="shared" si="3"/>
        <v>1588</v>
      </c>
      <c r="AM220">
        <f>IF(OR(Table1[[#This Row],[marital_Married]]=1,Table1[[#This Row],[marital_Together]]=1),1,0)</f>
        <v>0</v>
      </c>
      <c r="AN220" t="str">
        <f>IF(Table1[[#This Row],[Income]]&gt;=70000,"HIGH INCOME","LOW INCOME")</f>
        <v>HIGH INCOME</v>
      </c>
      <c r="AO220" s="1" t="str">
        <f>IF(Table1[[#This Row],[MNT_TOTAL]]&gt;=900,"HIGH VALUE","LOW VALUE")</f>
        <v>HIGH VALUE</v>
      </c>
      <c r="AP2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20" s="1"/>
      <c r="AR220" s="1"/>
    </row>
    <row r="221" spans="1:44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49</v>
      </c>
      <c r="X221">
        <v>2569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19</v>
      </c>
      <c r="AJ221">
        <v>16</v>
      </c>
      <c r="AK221">
        <v>0</v>
      </c>
      <c r="AL221">
        <f t="shared" si="3"/>
        <v>22</v>
      </c>
      <c r="AM221">
        <f>IF(OR(Table1[[#This Row],[marital_Married]]=1,Table1[[#This Row],[marital_Together]]=1),1,0)</f>
        <v>1</v>
      </c>
      <c r="AN221" t="str">
        <f>IF(Table1[[#This Row],[Income]]&gt;=70000,"HIGH INCOME","LOW INCOME")</f>
        <v>LOW INCOME</v>
      </c>
      <c r="AO221" s="1" t="str">
        <f>IF(Table1[[#This Row],[MNT_TOTAL]]&gt;=900,"HIGH VALUE","LOW VALUE")</f>
        <v>LOW VALUE</v>
      </c>
      <c r="AP2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1" s="1"/>
      <c r="AR221" s="1"/>
    </row>
    <row r="222" spans="1:44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69</v>
      </c>
      <c r="X222">
        <v>2233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15</v>
      </c>
      <c r="AJ222">
        <v>11</v>
      </c>
      <c r="AK222">
        <v>0</v>
      </c>
      <c r="AL222">
        <f t="shared" si="3"/>
        <v>19</v>
      </c>
      <c r="AM222">
        <f>IF(OR(Table1[[#This Row],[marital_Married]]=1,Table1[[#This Row],[marital_Together]]=1),1,0)</f>
        <v>0</v>
      </c>
      <c r="AN222" t="str">
        <f>IF(Table1[[#This Row],[Income]]&gt;=70000,"HIGH INCOME","LOW INCOME")</f>
        <v>LOW INCOME</v>
      </c>
      <c r="AO222" s="1" t="str">
        <f>IF(Table1[[#This Row],[MNT_TOTAL]]&gt;=900,"HIGH VALUE","LOW VALUE")</f>
        <v>LOW VALUE</v>
      </c>
      <c r="AP2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2" s="1"/>
      <c r="AR222" s="1"/>
    </row>
    <row r="223" spans="1:44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55</v>
      </c>
      <c r="X223">
        <v>2622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1085</v>
      </c>
      <c r="AJ223">
        <v>1053</v>
      </c>
      <c r="AK223">
        <v>0</v>
      </c>
      <c r="AL223">
        <f t="shared" si="3"/>
        <v>1117</v>
      </c>
      <c r="AM223">
        <f>IF(OR(Table1[[#This Row],[marital_Married]]=1,Table1[[#This Row],[marital_Together]]=1),1,0)</f>
        <v>1</v>
      </c>
      <c r="AN223" t="str">
        <f>IF(Table1[[#This Row],[Income]]&gt;=70000,"HIGH INCOME","LOW INCOME")</f>
        <v>LOW INCOME</v>
      </c>
      <c r="AO223" s="1" t="str">
        <f>IF(Table1[[#This Row],[MNT_TOTAL]]&gt;=900,"HIGH VALUE","LOW VALUE")</f>
        <v>HIGH VALUE</v>
      </c>
      <c r="AP2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3" s="1"/>
      <c r="AR223" s="1"/>
    </row>
    <row r="224" spans="1:44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45</v>
      </c>
      <c r="X224">
        <v>2361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48</v>
      </c>
      <c r="AJ224">
        <v>27</v>
      </c>
      <c r="AK224">
        <v>0</v>
      </c>
      <c r="AL224">
        <f t="shared" si="3"/>
        <v>69</v>
      </c>
      <c r="AM224">
        <f>IF(OR(Table1[[#This Row],[marital_Married]]=1,Table1[[#This Row],[marital_Together]]=1),1,0)</f>
        <v>1</v>
      </c>
      <c r="AN224" t="str">
        <f>IF(Table1[[#This Row],[Income]]&gt;=70000,"HIGH INCOME","LOW INCOME")</f>
        <v>LOW INCOME</v>
      </c>
      <c r="AO224" s="1" t="str">
        <f>IF(Table1[[#This Row],[MNT_TOTAL]]&gt;=900,"HIGH VALUE","LOW VALUE")</f>
        <v>LOW VALUE</v>
      </c>
      <c r="AP2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4" s="1"/>
      <c r="AR224" s="1"/>
    </row>
    <row r="225" spans="1:44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38</v>
      </c>
      <c r="X225">
        <v>2366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22</v>
      </c>
      <c r="AJ225">
        <v>21</v>
      </c>
      <c r="AK225">
        <v>0</v>
      </c>
      <c r="AL225">
        <f t="shared" si="3"/>
        <v>23</v>
      </c>
      <c r="AM225">
        <f>IF(OR(Table1[[#This Row],[marital_Married]]=1,Table1[[#This Row],[marital_Together]]=1),1,0)</f>
        <v>1</v>
      </c>
      <c r="AN225" t="str">
        <f>IF(Table1[[#This Row],[Income]]&gt;=70000,"HIGH INCOME","LOW INCOME")</f>
        <v>LOW INCOME</v>
      </c>
      <c r="AO225" s="1" t="str">
        <f>IF(Table1[[#This Row],[MNT_TOTAL]]&gt;=900,"HIGH VALUE","LOW VALUE")</f>
        <v>LOW VALUE</v>
      </c>
      <c r="AP2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5" s="1"/>
      <c r="AR225" s="1"/>
    </row>
    <row r="226" spans="1:44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62</v>
      </c>
      <c r="X226">
        <v>2427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594</v>
      </c>
      <c r="AJ226">
        <v>583</v>
      </c>
      <c r="AK226">
        <v>0</v>
      </c>
      <c r="AL226">
        <f t="shared" si="3"/>
        <v>605</v>
      </c>
      <c r="AM226">
        <f>IF(OR(Table1[[#This Row],[marital_Married]]=1,Table1[[#This Row],[marital_Together]]=1),1,0)</f>
        <v>0</v>
      </c>
      <c r="AN226" t="str">
        <f>IF(Table1[[#This Row],[Income]]&gt;=70000,"HIGH INCOME","LOW INCOME")</f>
        <v>HIGH INCOME</v>
      </c>
      <c r="AO226" s="1" t="str">
        <f>IF(Table1[[#This Row],[MNT_TOTAL]]&gt;=900,"HIGH VALUE","LOW VALUE")</f>
        <v>LOW VALUE</v>
      </c>
      <c r="AP2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6" s="1"/>
      <c r="AR226" s="1"/>
    </row>
    <row r="227" spans="1:44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47</v>
      </c>
      <c r="X227">
        <v>2344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37</v>
      </c>
      <c r="AJ227">
        <v>17</v>
      </c>
      <c r="AK227">
        <v>0</v>
      </c>
      <c r="AL227">
        <f t="shared" si="3"/>
        <v>57</v>
      </c>
      <c r="AM227">
        <f>IF(OR(Table1[[#This Row],[marital_Married]]=1,Table1[[#This Row],[marital_Together]]=1),1,0)</f>
        <v>0</v>
      </c>
      <c r="AN227" t="str">
        <f>IF(Table1[[#This Row],[Income]]&gt;=70000,"HIGH INCOME","LOW INCOME")</f>
        <v>LOW INCOME</v>
      </c>
      <c r="AO227" s="1" t="str">
        <f>IF(Table1[[#This Row],[MNT_TOTAL]]&gt;=900,"HIGH VALUE","LOW VALUE")</f>
        <v>LOW VALUE</v>
      </c>
      <c r="AP2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7" s="1"/>
      <c r="AR227" s="1"/>
    </row>
    <row r="228" spans="1:44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52</v>
      </c>
      <c r="X228">
        <v>2403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2068</v>
      </c>
      <c r="AJ228">
        <v>2048</v>
      </c>
      <c r="AK228">
        <v>1</v>
      </c>
      <c r="AL228">
        <f t="shared" si="3"/>
        <v>2088</v>
      </c>
      <c r="AM228">
        <f>IF(OR(Table1[[#This Row],[marital_Married]]=1,Table1[[#This Row],[marital_Together]]=1),1,0)</f>
        <v>0</v>
      </c>
      <c r="AN228" t="str">
        <f>IF(Table1[[#This Row],[Income]]&gt;=70000,"HIGH INCOME","LOW INCOME")</f>
        <v>HIGH INCOME</v>
      </c>
      <c r="AO228" s="1" t="str">
        <f>IF(Table1[[#This Row],[MNT_TOTAL]]&gt;=900,"HIGH VALUE","LOW VALUE")</f>
        <v>HIGH VALUE</v>
      </c>
      <c r="AP2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28" s="1"/>
      <c r="AR228" s="1"/>
    </row>
    <row r="229" spans="1:44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62</v>
      </c>
      <c r="X229">
        <v>2712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971</v>
      </c>
      <c r="AJ229">
        <v>933</v>
      </c>
      <c r="AK229">
        <v>0</v>
      </c>
      <c r="AL229">
        <f t="shared" si="3"/>
        <v>1009</v>
      </c>
      <c r="AM229">
        <f>IF(OR(Table1[[#This Row],[marital_Married]]=1,Table1[[#This Row],[marital_Together]]=1),1,0)</f>
        <v>1</v>
      </c>
      <c r="AN229" t="str">
        <f>IF(Table1[[#This Row],[Income]]&gt;=70000,"HIGH INCOME","LOW INCOME")</f>
        <v>LOW INCOME</v>
      </c>
      <c r="AO229" s="1" t="str">
        <f>IF(Table1[[#This Row],[MNT_TOTAL]]&gt;=900,"HIGH VALUE","LOW VALUE")</f>
        <v>HIGH VALUE</v>
      </c>
      <c r="AP2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9" s="1"/>
      <c r="AR229" s="1"/>
    </row>
    <row r="230" spans="1:44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49</v>
      </c>
      <c r="X230">
        <v>2492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25</v>
      </c>
      <c r="AJ230">
        <v>24</v>
      </c>
      <c r="AK230">
        <v>0</v>
      </c>
      <c r="AL230">
        <f t="shared" si="3"/>
        <v>26</v>
      </c>
      <c r="AM230">
        <f>IF(OR(Table1[[#This Row],[marital_Married]]=1,Table1[[#This Row],[marital_Together]]=1),1,0)</f>
        <v>0</v>
      </c>
      <c r="AN230" t="str">
        <f>IF(Table1[[#This Row],[Income]]&gt;=70000,"HIGH INCOME","LOW INCOME")</f>
        <v>LOW INCOME</v>
      </c>
      <c r="AO230" s="1" t="str">
        <f>IF(Table1[[#This Row],[MNT_TOTAL]]&gt;=900,"HIGH VALUE","LOW VALUE")</f>
        <v>LOW VALUE</v>
      </c>
      <c r="AP2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0" s="1"/>
      <c r="AR230" s="1"/>
    </row>
    <row r="231" spans="1:44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30</v>
      </c>
      <c r="X231">
        <v>2372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1446</v>
      </c>
      <c r="AJ231">
        <v>1265</v>
      </c>
      <c r="AK231">
        <v>1</v>
      </c>
      <c r="AL231">
        <f t="shared" si="3"/>
        <v>1627</v>
      </c>
      <c r="AM231">
        <f>IF(OR(Table1[[#This Row],[marital_Married]]=1,Table1[[#This Row],[marital_Together]]=1),1,0)</f>
        <v>1</v>
      </c>
      <c r="AN231" t="str">
        <f>IF(Table1[[#This Row],[Income]]&gt;=70000,"HIGH INCOME","LOW INCOME")</f>
        <v>HIGH INCOME</v>
      </c>
      <c r="AO231" s="1" t="str">
        <f>IF(Table1[[#This Row],[MNT_TOTAL]]&gt;=900,"HIGH VALUE","LOW VALUE")</f>
        <v>HIGH VALUE</v>
      </c>
      <c r="AP2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31" s="1"/>
      <c r="AR231" s="1"/>
    </row>
    <row r="232" spans="1:44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62</v>
      </c>
      <c r="X232">
        <v>2840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950</v>
      </c>
      <c r="AJ232">
        <v>798</v>
      </c>
      <c r="AK232">
        <v>0</v>
      </c>
      <c r="AL232">
        <f t="shared" si="3"/>
        <v>1102</v>
      </c>
      <c r="AM232">
        <f>IF(OR(Table1[[#This Row],[marital_Married]]=1,Table1[[#This Row],[marital_Together]]=1),1,0)</f>
        <v>1</v>
      </c>
      <c r="AN232" t="str">
        <f>IF(Table1[[#This Row],[Income]]&gt;=70000,"HIGH INCOME","LOW INCOME")</f>
        <v>LOW INCOME</v>
      </c>
      <c r="AO232" s="1" t="str">
        <f>IF(Table1[[#This Row],[MNT_TOTAL]]&gt;=900,"HIGH VALUE","LOW VALUE")</f>
        <v>HIGH VALUE</v>
      </c>
      <c r="AP2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2" s="1"/>
      <c r="AR232" s="1"/>
    </row>
    <row r="233" spans="1:44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56</v>
      </c>
      <c r="X233">
        <v>2183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16</v>
      </c>
      <c r="AJ233">
        <v>15</v>
      </c>
      <c r="AK233">
        <v>0</v>
      </c>
      <c r="AL233">
        <f t="shared" si="3"/>
        <v>17</v>
      </c>
      <c r="AM233">
        <f>IF(OR(Table1[[#This Row],[marital_Married]]=1,Table1[[#This Row],[marital_Together]]=1),1,0)</f>
        <v>1</v>
      </c>
      <c r="AN233" t="str">
        <f>IF(Table1[[#This Row],[Income]]&gt;=70000,"HIGH INCOME","LOW INCOME")</f>
        <v>LOW INCOME</v>
      </c>
      <c r="AO233" s="1" t="str">
        <f>IF(Table1[[#This Row],[MNT_TOTAL]]&gt;=900,"HIGH VALUE","LOW VALUE")</f>
        <v>LOW VALUE</v>
      </c>
      <c r="AP2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33" s="1"/>
      <c r="AR233" s="1"/>
    </row>
    <row r="234" spans="1:44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48</v>
      </c>
      <c r="X234">
        <v>2564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1610</v>
      </c>
      <c r="AJ234">
        <v>1530</v>
      </c>
      <c r="AK234">
        <v>3</v>
      </c>
      <c r="AL234">
        <f t="shared" si="3"/>
        <v>1690</v>
      </c>
      <c r="AM234">
        <f>IF(OR(Table1[[#This Row],[marital_Married]]=1,Table1[[#This Row],[marital_Together]]=1),1,0)</f>
        <v>1</v>
      </c>
      <c r="AN234" t="str">
        <f>IF(Table1[[#This Row],[Income]]&gt;=70000,"HIGH INCOME","LOW INCOME")</f>
        <v>HIGH INCOME</v>
      </c>
      <c r="AO234" s="1" t="str">
        <f>IF(Table1[[#This Row],[MNT_TOTAL]]&gt;=900,"HIGH VALUE","LOW VALUE")</f>
        <v>HIGH VALUE</v>
      </c>
      <c r="AP2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34" s="1"/>
      <c r="AR234" s="1"/>
    </row>
    <row r="235" spans="1:44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67</v>
      </c>
      <c r="X235">
        <v>2695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1313</v>
      </c>
      <c r="AJ235">
        <v>1236</v>
      </c>
      <c r="AK235">
        <v>0</v>
      </c>
      <c r="AL235">
        <f t="shared" si="3"/>
        <v>1390</v>
      </c>
      <c r="AM235">
        <f>IF(OR(Table1[[#This Row],[marital_Married]]=1,Table1[[#This Row],[marital_Together]]=1),1,0)</f>
        <v>1</v>
      </c>
      <c r="AN235" t="str">
        <f>IF(Table1[[#This Row],[Income]]&gt;=70000,"HIGH INCOME","LOW INCOME")</f>
        <v>HIGH INCOME</v>
      </c>
      <c r="AO235" s="1" t="str">
        <f>IF(Table1[[#This Row],[MNT_TOTAL]]&gt;=900,"HIGH VALUE","LOW VALUE")</f>
        <v>HIGH VALUE</v>
      </c>
      <c r="AP2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35" s="1"/>
      <c r="AR235" s="1"/>
    </row>
    <row r="236" spans="1:44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32</v>
      </c>
      <c r="X236">
        <v>2826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1954</v>
      </c>
      <c r="AJ236">
        <v>1782</v>
      </c>
      <c r="AK236">
        <v>0</v>
      </c>
      <c r="AL236">
        <f t="shared" si="3"/>
        <v>2126</v>
      </c>
      <c r="AM236">
        <f>IF(OR(Table1[[#This Row],[marital_Married]]=1,Table1[[#This Row],[marital_Together]]=1),1,0)</f>
        <v>1</v>
      </c>
      <c r="AN236" t="str">
        <f>IF(Table1[[#This Row],[Income]]&gt;=70000,"HIGH INCOME","LOW INCOME")</f>
        <v>LOW INCOME</v>
      </c>
      <c r="AO236" s="1" t="str">
        <f>IF(Table1[[#This Row],[MNT_TOTAL]]&gt;=900,"HIGH VALUE","LOW VALUE")</f>
        <v>HIGH VALUE</v>
      </c>
      <c r="AP2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6" s="1"/>
      <c r="AR236" s="1"/>
    </row>
    <row r="237" spans="1:44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51</v>
      </c>
      <c r="X237">
        <v>2767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1461</v>
      </c>
      <c r="AJ237">
        <v>1391</v>
      </c>
      <c r="AK237">
        <v>0</v>
      </c>
      <c r="AL237">
        <f t="shared" si="3"/>
        <v>1531</v>
      </c>
      <c r="AM237">
        <f>IF(OR(Table1[[#This Row],[marital_Married]]=1,Table1[[#This Row],[marital_Together]]=1),1,0)</f>
        <v>1</v>
      </c>
      <c r="AN237" t="str">
        <f>IF(Table1[[#This Row],[Income]]&gt;=70000,"HIGH INCOME","LOW INCOME")</f>
        <v>LOW INCOME</v>
      </c>
      <c r="AO237" s="1" t="str">
        <f>IF(Table1[[#This Row],[MNT_TOTAL]]&gt;=900,"HIGH VALUE","LOW VALUE")</f>
        <v>HIGH VALUE</v>
      </c>
      <c r="AP2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7" s="1"/>
      <c r="AR237" s="1"/>
    </row>
    <row r="238" spans="1:44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45</v>
      </c>
      <c r="X238">
        <v>2445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51</v>
      </c>
      <c r="AJ238">
        <v>38</v>
      </c>
      <c r="AK238">
        <v>0</v>
      </c>
      <c r="AL238">
        <f t="shared" si="3"/>
        <v>64</v>
      </c>
      <c r="AM238">
        <f>IF(OR(Table1[[#This Row],[marital_Married]]=1,Table1[[#This Row],[marital_Together]]=1),1,0)</f>
        <v>0</v>
      </c>
      <c r="AN238" t="str">
        <f>IF(Table1[[#This Row],[Income]]&gt;=70000,"HIGH INCOME","LOW INCOME")</f>
        <v>LOW INCOME</v>
      </c>
      <c r="AO238" s="1" t="str">
        <f>IF(Table1[[#This Row],[MNT_TOTAL]]&gt;=900,"HIGH VALUE","LOW VALUE")</f>
        <v>LOW VALUE</v>
      </c>
      <c r="AP2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8" s="1"/>
      <c r="AR238" s="1"/>
    </row>
    <row r="239" spans="1:44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35</v>
      </c>
      <c r="X239">
        <v>2404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15</v>
      </c>
      <c r="AJ239">
        <v>4</v>
      </c>
      <c r="AK239">
        <v>0</v>
      </c>
      <c r="AL239">
        <f t="shared" si="3"/>
        <v>26</v>
      </c>
      <c r="AM239">
        <f>IF(OR(Table1[[#This Row],[marital_Married]]=1,Table1[[#This Row],[marital_Together]]=1),1,0)</f>
        <v>0</v>
      </c>
      <c r="AN239" t="str">
        <f>IF(Table1[[#This Row],[Income]]&gt;=70000,"HIGH INCOME","LOW INCOME")</f>
        <v>LOW INCOME</v>
      </c>
      <c r="AO239" s="1" t="str">
        <f>IF(Table1[[#This Row],[MNT_TOTAL]]&gt;=900,"HIGH VALUE","LOW VALUE")</f>
        <v>LOW VALUE</v>
      </c>
      <c r="AP2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39" s="1"/>
      <c r="AR239" s="1"/>
    </row>
    <row r="240" spans="1:44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1</v>
      </c>
      <c r="W240">
        <v>46</v>
      </c>
      <c r="X240">
        <v>2609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964</v>
      </c>
      <c r="AJ240">
        <v>816</v>
      </c>
      <c r="AK240">
        <v>4</v>
      </c>
      <c r="AL240">
        <f t="shared" si="3"/>
        <v>1112</v>
      </c>
      <c r="AM240">
        <f>IF(OR(Table1[[#This Row],[marital_Married]]=1,Table1[[#This Row],[marital_Together]]=1),1,0)</f>
        <v>0</v>
      </c>
      <c r="AN240" t="str">
        <f>IF(Table1[[#This Row],[Income]]&gt;=70000,"HIGH INCOME","LOW INCOME")</f>
        <v>HIGH INCOME</v>
      </c>
      <c r="AO240" s="1" t="str">
        <f>IF(Table1[[#This Row],[MNT_TOTAL]]&gt;=900,"HIGH VALUE","LOW VALUE")</f>
        <v>HIGH VALUE</v>
      </c>
      <c r="AP2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40" s="1"/>
      <c r="AR240" s="1"/>
    </row>
    <row r="241" spans="1:44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62</v>
      </c>
      <c r="X241">
        <v>2804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185</v>
      </c>
      <c r="AJ241">
        <v>160</v>
      </c>
      <c r="AK241">
        <v>0</v>
      </c>
      <c r="AL241">
        <f t="shared" si="3"/>
        <v>210</v>
      </c>
      <c r="AM241">
        <f>IF(OR(Table1[[#This Row],[marital_Married]]=1,Table1[[#This Row],[marital_Together]]=1),1,0)</f>
        <v>1</v>
      </c>
      <c r="AN241" t="str">
        <f>IF(Table1[[#This Row],[Income]]&gt;=70000,"HIGH INCOME","LOW INCOME")</f>
        <v>LOW INCOME</v>
      </c>
      <c r="AO241" s="1" t="str">
        <f>IF(Table1[[#This Row],[MNT_TOTAL]]&gt;=900,"HIGH VALUE","LOW VALUE")</f>
        <v>LOW VALUE</v>
      </c>
      <c r="AP2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41" s="1"/>
      <c r="AR241" s="1"/>
    </row>
    <row r="242" spans="1:44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53</v>
      </c>
      <c r="X242">
        <v>2828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1118</v>
      </c>
      <c r="AJ242">
        <v>1088</v>
      </c>
      <c r="AK242">
        <v>0</v>
      </c>
      <c r="AL242">
        <f t="shared" si="3"/>
        <v>1148</v>
      </c>
      <c r="AM242">
        <f>IF(OR(Table1[[#This Row],[marital_Married]]=1,Table1[[#This Row],[marital_Together]]=1),1,0)</f>
        <v>1</v>
      </c>
      <c r="AN242" t="str">
        <f>IF(Table1[[#This Row],[Income]]&gt;=70000,"HIGH INCOME","LOW INCOME")</f>
        <v>HIGH INCOME</v>
      </c>
      <c r="AO242" s="1" t="str">
        <f>IF(Table1[[#This Row],[MNT_TOTAL]]&gt;=900,"HIGH VALUE","LOW VALUE")</f>
        <v>HIGH VALUE</v>
      </c>
      <c r="AP2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42" s="1"/>
      <c r="AR242" s="1"/>
    </row>
    <row r="243" spans="1:44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46</v>
      </c>
      <c r="X243">
        <v>2783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32</v>
      </c>
      <c r="AJ243">
        <v>31</v>
      </c>
      <c r="AK243">
        <v>0</v>
      </c>
      <c r="AL243">
        <f t="shared" si="3"/>
        <v>33</v>
      </c>
      <c r="AM243">
        <f>IF(OR(Table1[[#This Row],[marital_Married]]=1,Table1[[#This Row],[marital_Together]]=1),1,0)</f>
        <v>0</v>
      </c>
      <c r="AN243" t="str">
        <f>IF(Table1[[#This Row],[Income]]&gt;=70000,"HIGH INCOME","LOW INCOME")</f>
        <v>LOW INCOME</v>
      </c>
      <c r="AO243" s="1" t="str">
        <f>IF(Table1[[#This Row],[MNT_TOTAL]]&gt;=900,"HIGH VALUE","LOW VALUE")</f>
        <v>LOW VALUE</v>
      </c>
      <c r="AP2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3" s="1"/>
      <c r="AR243" s="1"/>
    </row>
    <row r="244" spans="1:44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59</v>
      </c>
      <c r="X244">
        <v>2780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1080</v>
      </c>
      <c r="AJ244">
        <v>1059</v>
      </c>
      <c r="AK244">
        <v>1</v>
      </c>
      <c r="AL244">
        <f t="shared" si="3"/>
        <v>1101</v>
      </c>
      <c r="AM244">
        <f>IF(OR(Table1[[#This Row],[marital_Married]]=1,Table1[[#This Row],[marital_Together]]=1),1,0)</f>
        <v>1</v>
      </c>
      <c r="AN244" t="str">
        <f>IF(Table1[[#This Row],[Income]]&gt;=70000,"HIGH INCOME","LOW INCOME")</f>
        <v>LOW INCOME</v>
      </c>
      <c r="AO244" s="1" t="str">
        <f>IF(Table1[[#This Row],[MNT_TOTAL]]&gt;=900,"HIGH VALUE","LOW VALUE")</f>
        <v>HIGH VALUE</v>
      </c>
      <c r="AP2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4" s="1"/>
      <c r="AR244" s="1"/>
    </row>
    <row r="245" spans="1:44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56</v>
      </c>
      <c r="X245">
        <v>2774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310</v>
      </c>
      <c r="AJ245">
        <v>298</v>
      </c>
      <c r="AK245">
        <v>0</v>
      </c>
      <c r="AL245">
        <f t="shared" si="3"/>
        <v>322</v>
      </c>
      <c r="AM245">
        <f>IF(OR(Table1[[#This Row],[marital_Married]]=1,Table1[[#This Row],[marital_Together]]=1),1,0)</f>
        <v>0</v>
      </c>
      <c r="AN245" t="str">
        <f>IF(Table1[[#This Row],[Income]]&gt;=70000,"HIGH INCOME","LOW INCOME")</f>
        <v>LOW INCOME</v>
      </c>
      <c r="AO245" s="1" t="str">
        <f>IF(Table1[[#This Row],[MNT_TOTAL]]&gt;=900,"HIGH VALUE","LOW VALUE")</f>
        <v>LOW VALUE</v>
      </c>
      <c r="AP2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5" s="1"/>
      <c r="AR245" s="1"/>
    </row>
    <row r="246" spans="1:44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56</v>
      </c>
      <c r="X246">
        <v>2549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34</v>
      </c>
      <c r="AJ246">
        <v>24</v>
      </c>
      <c r="AK246">
        <v>0</v>
      </c>
      <c r="AL246">
        <f t="shared" si="3"/>
        <v>44</v>
      </c>
      <c r="AM246">
        <f>IF(OR(Table1[[#This Row],[marital_Married]]=1,Table1[[#This Row],[marital_Together]]=1),1,0)</f>
        <v>0</v>
      </c>
      <c r="AN246" t="str">
        <f>IF(Table1[[#This Row],[Income]]&gt;=70000,"HIGH INCOME","LOW INCOME")</f>
        <v>LOW INCOME</v>
      </c>
      <c r="AO246" s="1" t="str">
        <f>IF(Table1[[#This Row],[MNT_TOTAL]]&gt;=900,"HIGH VALUE","LOW VALUE")</f>
        <v>LOW VALUE</v>
      </c>
      <c r="AP2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6" s="1"/>
      <c r="AR246" s="1"/>
    </row>
    <row r="247" spans="1:44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63</v>
      </c>
      <c r="X247">
        <v>2362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15</v>
      </c>
      <c r="AJ247">
        <v>13</v>
      </c>
      <c r="AK247">
        <v>0</v>
      </c>
      <c r="AL247">
        <f t="shared" si="3"/>
        <v>17</v>
      </c>
      <c r="AM247">
        <f>IF(OR(Table1[[#This Row],[marital_Married]]=1,Table1[[#This Row],[marital_Together]]=1),1,0)</f>
        <v>0</v>
      </c>
      <c r="AN247" t="str">
        <f>IF(Table1[[#This Row],[Income]]&gt;=70000,"HIGH INCOME","LOW INCOME")</f>
        <v>LOW INCOME</v>
      </c>
      <c r="AO247" s="1" t="str">
        <f>IF(Table1[[#This Row],[MNT_TOTAL]]&gt;=900,"HIGH VALUE","LOW VALUE")</f>
        <v>LOW VALUE</v>
      </c>
      <c r="AP2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7" s="1"/>
      <c r="AR247" s="1"/>
    </row>
    <row r="248" spans="1:44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41</v>
      </c>
      <c r="X248">
        <v>2786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18</v>
      </c>
      <c r="AJ248">
        <v>5</v>
      </c>
      <c r="AK248">
        <v>1</v>
      </c>
      <c r="AL248">
        <f t="shared" si="3"/>
        <v>31</v>
      </c>
      <c r="AM248">
        <f>IF(OR(Table1[[#This Row],[marital_Married]]=1,Table1[[#This Row],[marital_Together]]=1),1,0)</f>
        <v>0</v>
      </c>
      <c r="AN248" t="str">
        <f>IF(Table1[[#This Row],[Income]]&gt;=70000,"HIGH INCOME","LOW INCOME")</f>
        <v>LOW INCOME</v>
      </c>
      <c r="AO248" s="1" t="str">
        <f>IF(Table1[[#This Row],[MNT_TOTAL]]&gt;=900,"HIGH VALUE","LOW VALUE")</f>
        <v>LOW VALUE</v>
      </c>
      <c r="AP2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8" s="1"/>
      <c r="AR248" s="1"/>
    </row>
    <row r="249" spans="1:44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52</v>
      </c>
      <c r="X249">
        <v>2562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821</v>
      </c>
      <c r="AJ249">
        <v>797</v>
      </c>
      <c r="AK249">
        <v>0</v>
      </c>
      <c r="AL249">
        <f t="shared" si="3"/>
        <v>845</v>
      </c>
      <c r="AM249">
        <f>IF(OR(Table1[[#This Row],[marital_Married]]=1,Table1[[#This Row],[marital_Together]]=1),1,0)</f>
        <v>0</v>
      </c>
      <c r="AN249" t="str">
        <f>IF(Table1[[#This Row],[Income]]&gt;=70000,"HIGH INCOME","LOW INCOME")</f>
        <v>LOW INCOME</v>
      </c>
      <c r="AO249" s="1" t="str">
        <f>IF(Table1[[#This Row],[MNT_TOTAL]]&gt;=900,"HIGH VALUE","LOW VALUE")</f>
        <v>LOW VALUE</v>
      </c>
      <c r="AP2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49" s="1"/>
      <c r="AR249" s="1"/>
    </row>
    <row r="250" spans="1:44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50</v>
      </c>
      <c r="X250">
        <v>2171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268</v>
      </c>
      <c r="AJ250">
        <v>261</v>
      </c>
      <c r="AK250">
        <v>0</v>
      </c>
      <c r="AL250">
        <f t="shared" si="3"/>
        <v>275</v>
      </c>
      <c r="AM250">
        <f>IF(OR(Table1[[#This Row],[marital_Married]]=1,Table1[[#This Row],[marital_Together]]=1),1,0)</f>
        <v>1</v>
      </c>
      <c r="AN250" t="str">
        <f>IF(Table1[[#This Row],[Income]]&gt;=70000,"HIGH INCOME","LOW INCOME")</f>
        <v>LOW INCOME</v>
      </c>
      <c r="AO250" s="1" t="str">
        <f>IF(Table1[[#This Row],[MNT_TOTAL]]&gt;=900,"HIGH VALUE","LOW VALUE")</f>
        <v>LOW VALUE</v>
      </c>
      <c r="AP2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0" s="1"/>
      <c r="AR250" s="1"/>
    </row>
    <row r="251" spans="1:44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42</v>
      </c>
      <c r="X251">
        <v>2742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20</v>
      </c>
      <c r="AJ251">
        <v>15</v>
      </c>
      <c r="AK251">
        <v>0</v>
      </c>
      <c r="AL251">
        <f t="shared" si="3"/>
        <v>25</v>
      </c>
      <c r="AM251">
        <f>IF(OR(Table1[[#This Row],[marital_Married]]=1,Table1[[#This Row],[marital_Together]]=1),1,0)</f>
        <v>1</v>
      </c>
      <c r="AN251" t="str">
        <f>IF(Table1[[#This Row],[Income]]&gt;=70000,"HIGH INCOME","LOW INCOME")</f>
        <v>LOW INCOME</v>
      </c>
      <c r="AO251" s="1" t="str">
        <f>IF(Table1[[#This Row],[MNT_TOTAL]]&gt;=900,"HIGH VALUE","LOW VALUE")</f>
        <v>LOW VALUE</v>
      </c>
      <c r="AP2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1" s="1"/>
      <c r="AR251" s="1"/>
    </row>
    <row r="252" spans="1:44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68</v>
      </c>
      <c r="X252">
        <v>2670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255</v>
      </c>
      <c r="AJ252">
        <v>235</v>
      </c>
      <c r="AK252">
        <v>0</v>
      </c>
      <c r="AL252">
        <f t="shared" si="3"/>
        <v>275</v>
      </c>
      <c r="AM252">
        <f>IF(OR(Table1[[#This Row],[marital_Married]]=1,Table1[[#This Row],[marital_Together]]=1),1,0)</f>
        <v>1</v>
      </c>
      <c r="AN252" t="str">
        <f>IF(Table1[[#This Row],[Income]]&gt;=70000,"HIGH INCOME","LOW INCOME")</f>
        <v>LOW INCOME</v>
      </c>
      <c r="AO252" s="1" t="str">
        <f>IF(Table1[[#This Row],[MNT_TOTAL]]&gt;=900,"HIGH VALUE","LOW VALUE")</f>
        <v>LOW VALUE</v>
      </c>
      <c r="AP2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2" s="1"/>
      <c r="AR252" s="1"/>
    </row>
    <row r="253" spans="1:44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54</v>
      </c>
      <c r="X253">
        <v>2631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70</v>
      </c>
      <c r="AJ253">
        <v>50</v>
      </c>
      <c r="AK253">
        <v>0</v>
      </c>
      <c r="AL253">
        <f t="shared" si="3"/>
        <v>90</v>
      </c>
      <c r="AM253">
        <f>IF(OR(Table1[[#This Row],[marital_Married]]=1,Table1[[#This Row],[marital_Together]]=1),1,0)</f>
        <v>1</v>
      </c>
      <c r="AN253" t="str">
        <f>IF(Table1[[#This Row],[Income]]&gt;=70000,"HIGH INCOME","LOW INCOME")</f>
        <v>LOW INCOME</v>
      </c>
      <c r="AO253" s="1" t="str">
        <f>IF(Table1[[#This Row],[MNT_TOTAL]]&gt;=900,"HIGH VALUE","LOW VALUE")</f>
        <v>LOW VALUE</v>
      </c>
      <c r="AP2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3" s="1"/>
      <c r="AR253" s="1"/>
    </row>
    <row r="254" spans="1:44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57</v>
      </c>
      <c r="X254">
        <v>2162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1254</v>
      </c>
      <c r="AJ254">
        <v>1013</v>
      </c>
      <c r="AK254">
        <v>1</v>
      </c>
      <c r="AL254">
        <f t="shared" si="3"/>
        <v>1495</v>
      </c>
      <c r="AM254">
        <f>IF(OR(Table1[[#This Row],[marital_Married]]=1,Table1[[#This Row],[marital_Together]]=1),1,0)</f>
        <v>1</v>
      </c>
      <c r="AN254" t="str">
        <f>IF(Table1[[#This Row],[Income]]&gt;=70000,"HIGH INCOME","LOW INCOME")</f>
        <v>HIGH INCOME</v>
      </c>
      <c r="AO254" s="1" t="str">
        <f>IF(Table1[[#This Row],[MNT_TOTAL]]&gt;=900,"HIGH VALUE","LOW VALUE")</f>
        <v>HIGH VALUE</v>
      </c>
      <c r="AP2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54" s="1"/>
      <c r="AR254" s="1"/>
    </row>
    <row r="255" spans="1:44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50</v>
      </c>
      <c r="X255">
        <v>2781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115</v>
      </c>
      <c r="AJ255">
        <v>46</v>
      </c>
      <c r="AK255">
        <v>1</v>
      </c>
      <c r="AL255">
        <f t="shared" si="3"/>
        <v>184</v>
      </c>
      <c r="AM255">
        <f>IF(OR(Table1[[#This Row],[marital_Married]]=1,Table1[[#This Row],[marital_Together]]=1),1,0)</f>
        <v>1</v>
      </c>
      <c r="AN255" t="str">
        <f>IF(Table1[[#This Row],[Income]]&gt;=70000,"HIGH INCOME","LOW INCOME")</f>
        <v>LOW INCOME</v>
      </c>
      <c r="AO255" s="1" t="str">
        <f>IF(Table1[[#This Row],[MNT_TOTAL]]&gt;=900,"HIGH VALUE","LOW VALUE")</f>
        <v>LOW VALUE</v>
      </c>
      <c r="AP2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5" s="1"/>
      <c r="AR255" s="1"/>
    </row>
    <row r="256" spans="1:44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50</v>
      </c>
      <c r="X256">
        <v>2534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865</v>
      </c>
      <c r="AJ256">
        <v>749</v>
      </c>
      <c r="AK256">
        <v>0</v>
      </c>
      <c r="AL256">
        <f t="shared" si="3"/>
        <v>981</v>
      </c>
      <c r="AM256">
        <f>IF(OR(Table1[[#This Row],[marital_Married]]=1,Table1[[#This Row],[marital_Together]]=1),1,0)</f>
        <v>1</v>
      </c>
      <c r="AN256" t="str">
        <f>IF(Table1[[#This Row],[Income]]&gt;=70000,"HIGH INCOME","LOW INCOME")</f>
        <v>HIGH INCOME</v>
      </c>
      <c r="AO256" s="1" t="str">
        <f>IF(Table1[[#This Row],[MNT_TOTAL]]&gt;=900,"HIGH VALUE","LOW VALUE")</f>
        <v>HIGH VALUE</v>
      </c>
      <c r="AP2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56" s="1"/>
      <c r="AR256" s="1"/>
    </row>
    <row r="257" spans="1:44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50</v>
      </c>
      <c r="X257">
        <v>2427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46</v>
      </c>
      <c r="AJ257">
        <v>25</v>
      </c>
      <c r="AK257">
        <v>0</v>
      </c>
      <c r="AL257">
        <f t="shared" si="3"/>
        <v>67</v>
      </c>
      <c r="AM257">
        <f>IF(OR(Table1[[#This Row],[marital_Married]]=1,Table1[[#This Row],[marital_Together]]=1),1,0)</f>
        <v>1</v>
      </c>
      <c r="AN257" t="str">
        <f>IF(Table1[[#This Row],[Income]]&gt;=70000,"HIGH INCOME","LOW INCOME")</f>
        <v>LOW INCOME</v>
      </c>
      <c r="AO257" s="1" t="str">
        <f>IF(Table1[[#This Row],[MNT_TOTAL]]&gt;=900,"HIGH VALUE","LOW VALUE")</f>
        <v>LOW VALUE</v>
      </c>
      <c r="AP2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57" s="1"/>
      <c r="AR257" s="1"/>
    </row>
    <row r="258" spans="1:44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67</v>
      </c>
      <c r="X258">
        <v>2804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1489</v>
      </c>
      <c r="AJ258">
        <v>1343</v>
      </c>
      <c r="AK258">
        <v>0</v>
      </c>
      <c r="AL258">
        <f t="shared" ref="AL258:AL321" si="4">SUM(E258:J258)</f>
        <v>1635</v>
      </c>
      <c r="AM258">
        <f>IF(OR(Table1[[#This Row],[marital_Married]]=1,Table1[[#This Row],[marital_Together]]=1),1,0)</f>
        <v>0</v>
      </c>
      <c r="AN258" t="str">
        <f>IF(Table1[[#This Row],[Income]]&gt;=70000,"HIGH INCOME","LOW INCOME")</f>
        <v>LOW INCOME</v>
      </c>
      <c r="AO258" s="1" t="str">
        <f>IF(Table1[[#This Row],[MNT_TOTAL]]&gt;=900,"HIGH VALUE","LOW VALUE")</f>
        <v>HIGH VALUE</v>
      </c>
      <c r="AP2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58" s="1"/>
      <c r="AR258" s="1"/>
    </row>
    <row r="259" spans="1:44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37</v>
      </c>
      <c r="X259">
        <v>2260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54</v>
      </c>
      <c r="AJ259">
        <v>48</v>
      </c>
      <c r="AK259">
        <v>0</v>
      </c>
      <c r="AL259">
        <f t="shared" si="4"/>
        <v>60</v>
      </c>
      <c r="AM259">
        <f>IF(OR(Table1[[#This Row],[marital_Married]]=1,Table1[[#This Row],[marital_Together]]=1),1,0)</f>
        <v>0</v>
      </c>
      <c r="AN259" t="str">
        <f>IF(Table1[[#This Row],[Income]]&gt;=70000,"HIGH INCOME","LOW INCOME")</f>
        <v>LOW INCOME</v>
      </c>
      <c r="AO259" s="1" t="str">
        <f>IF(Table1[[#This Row],[MNT_TOTAL]]&gt;=900,"HIGH VALUE","LOW VALUE")</f>
        <v>LOW VALUE</v>
      </c>
      <c r="AP2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59" s="1"/>
      <c r="AR259" s="1"/>
    </row>
    <row r="260" spans="1:44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45</v>
      </c>
      <c r="X260">
        <v>2304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218</v>
      </c>
      <c r="AJ260">
        <v>205</v>
      </c>
      <c r="AK260">
        <v>0</v>
      </c>
      <c r="AL260">
        <f t="shared" si="4"/>
        <v>231</v>
      </c>
      <c r="AM260">
        <f>IF(OR(Table1[[#This Row],[marital_Married]]=1,Table1[[#This Row],[marital_Together]]=1),1,0)</f>
        <v>1</v>
      </c>
      <c r="AN260" t="str">
        <f>IF(Table1[[#This Row],[Income]]&gt;=70000,"HIGH INCOME","LOW INCOME")</f>
        <v>LOW INCOME</v>
      </c>
      <c r="AO260" s="1" t="str">
        <f>IF(Table1[[#This Row],[MNT_TOTAL]]&gt;=900,"HIGH VALUE","LOW VALUE")</f>
        <v>LOW VALUE</v>
      </c>
      <c r="AP2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60" s="1"/>
      <c r="AR260" s="1"/>
    </row>
    <row r="261" spans="1:44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60</v>
      </c>
      <c r="X261">
        <v>2243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44</v>
      </c>
      <c r="AJ261">
        <v>40</v>
      </c>
      <c r="AK261">
        <v>0</v>
      </c>
      <c r="AL261">
        <f t="shared" si="4"/>
        <v>48</v>
      </c>
      <c r="AM261">
        <f>IF(OR(Table1[[#This Row],[marital_Married]]=1,Table1[[#This Row],[marital_Together]]=1),1,0)</f>
        <v>1</v>
      </c>
      <c r="AN261" t="str">
        <f>IF(Table1[[#This Row],[Income]]&gt;=70000,"HIGH INCOME","LOW INCOME")</f>
        <v>LOW INCOME</v>
      </c>
      <c r="AO261" s="1" t="str">
        <f>IF(Table1[[#This Row],[MNT_TOTAL]]&gt;=900,"HIGH VALUE","LOW VALUE")</f>
        <v>LOW VALUE</v>
      </c>
      <c r="AP2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61" s="1"/>
      <c r="AR261" s="1"/>
    </row>
    <row r="262" spans="1:44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57</v>
      </c>
      <c r="X262">
        <v>2667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89</v>
      </c>
      <c r="AJ262">
        <v>79</v>
      </c>
      <c r="AK262">
        <v>0</v>
      </c>
      <c r="AL262">
        <f t="shared" si="4"/>
        <v>99</v>
      </c>
      <c r="AM262">
        <f>IF(OR(Table1[[#This Row],[marital_Married]]=1,Table1[[#This Row],[marital_Together]]=1),1,0)</f>
        <v>0</v>
      </c>
      <c r="AN262" t="str">
        <f>IF(Table1[[#This Row],[Income]]&gt;=70000,"HIGH INCOME","LOW INCOME")</f>
        <v>LOW INCOME</v>
      </c>
      <c r="AO262" s="1" t="str">
        <f>IF(Table1[[#This Row],[MNT_TOTAL]]&gt;=900,"HIGH VALUE","LOW VALUE")</f>
        <v>LOW VALUE</v>
      </c>
      <c r="AP2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2" s="1"/>
      <c r="AR262" s="1"/>
    </row>
    <row r="263" spans="1:44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57</v>
      </c>
      <c r="X263">
        <v>2445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763</v>
      </c>
      <c r="AJ263">
        <v>756</v>
      </c>
      <c r="AK263">
        <v>0</v>
      </c>
      <c r="AL263">
        <f t="shared" si="4"/>
        <v>770</v>
      </c>
      <c r="AM263">
        <f>IF(OR(Table1[[#This Row],[marital_Married]]=1,Table1[[#This Row],[marital_Together]]=1),1,0)</f>
        <v>1</v>
      </c>
      <c r="AN263" t="str">
        <f>IF(Table1[[#This Row],[Income]]&gt;=70000,"HIGH INCOME","LOW INCOME")</f>
        <v>LOW INCOME</v>
      </c>
      <c r="AO263" s="1" t="str">
        <f>IF(Table1[[#This Row],[MNT_TOTAL]]&gt;=900,"HIGH VALUE","LOW VALUE")</f>
        <v>LOW VALUE</v>
      </c>
      <c r="AP2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63" s="1"/>
      <c r="AR263" s="1"/>
    </row>
    <row r="264" spans="1:44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64</v>
      </c>
      <c r="X264">
        <v>2687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795</v>
      </c>
      <c r="AJ264">
        <v>633</v>
      </c>
      <c r="AK264">
        <v>0</v>
      </c>
      <c r="AL264">
        <f t="shared" si="4"/>
        <v>957</v>
      </c>
      <c r="AM264">
        <f>IF(OR(Table1[[#This Row],[marital_Married]]=1,Table1[[#This Row],[marital_Together]]=1),1,0)</f>
        <v>0</v>
      </c>
      <c r="AN264" t="str">
        <f>IF(Table1[[#This Row],[Income]]&gt;=70000,"HIGH INCOME","LOW INCOME")</f>
        <v>LOW INCOME</v>
      </c>
      <c r="AO264" s="1" t="str">
        <f>IF(Table1[[#This Row],[MNT_TOTAL]]&gt;=900,"HIGH VALUE","LOW VALUE")</f>
        <v>HIGH VALUE</v>
      </c>
      <c r="AP2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4" s="1"/>
      <c r="AR264" s="1"/>
    </row>
    <row r="265" spans="1:44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39</v>
      </c>
      <c r="X265">
        <v>2219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803</v>
      </c>
      <c r="AJ265">
        <v>788</v>
      </c>
      <c r="AK265">
        <v>0</v>
      </c>
      <c r="AL265">
        <f t="shared" si="4"/>
        <v>818</v>
      </c>
      <c r="AM265">
        <f>IF(OR(Table1[[#This Row],[marital_Married]]=1,Table1[[#This Row],[marital_Together]]=1),1,0)</f>
        <v>1</v>
      </c>
      <c r="AN265" t="str">
        <f>IF(Table1[[#This Row],[Income]]&gt;=70000,"HIGH INCOME","LOW INCOME")</f>
        <v>HIGH INCOME</v>
      </c>
      <c r="AO265" s="1" t="str">
        <f>IF(Table1[[#This Row],[MNT_TOTAL]]&gt;=900,"HIGH VALUE","LOW VALUE")</f>
        <v>LOW VALUE</v>
      </c>
      <c r="AP2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5" s="1"/>
      <c r="AR265" s="1"/>
    </row>
    <row r="266" spans="1:44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34</v>
      </c>
      <c r="X266">
        <v>2612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871</v>
      </c>
      <c r="AJ266">
        <v>817</v>
      </c>
      <c r="AK266">
        <v>1</v>
      </c>
      <c r="AL266">
        <f t="shared" si="4"/>
        <v>925</v>
      </c>
      <c r="AM266">
        <f>IF(OR(Table1[[#This Row],[marital_Married]]=1,Table1[[#This Row],[marital_Together]]=1),1,0)</f>
        <v>0</v>
      </c>
      <c r="AN266" t="str">
        <f>IF(Table1[[#This Row],[Income]]&gt;=70000,"HIGH INCOME","LOW INCOME")</f>
        <v>LOW INCOME</v>
      </c>
      <c r="AO266" s="1" t="str">
        <f>IF(Table1[[#This Row],[MNT_TOTAL]]&gt;=900,"HIGH VALUE","LOW VALUE")</f>
        <v>HIGH VALUE</v>
      </c>
      <c r="AP2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6" s="1"/>
      <c r="AR266" s="1"/>
    </row>
    <row r="267" spans="1:44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52</v>
      </c>
      <c r="X267">
        <v>2593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777</v>
      </c>
      <c r="AJ267">
        <v>646</v>
      </c>
      <c r="AK267">
        <v>0</v>
      </c>
      <c r="AL267">
        <f t="shared" si="4"/>
        <v>908</v>
      </c>
      <c r="AM267">
        <f>IF(OR(Table1[[#This Row],[marital_Married]]=1,Table1[[#This Row],[marital_Together]]=1),1,0)</f>
        <v>0</v>
      </c>
      <c r="AN267" t="str">
        <f>IF(Table1[[#This Row],[Income]]&gt;=70000,"HIGH INCOME","LOW INCOME")</f>
        <v>LOW INCOME</v>
      </c>
      <c r="AO267" s="1" t="str">
        <f>IF(Table1[[#This Row],[MNT_TOTAL]]&gt;=900,"HIGH VALUE","LOW VALUE")</f>
        <v>HIGH VALUE</v>
      </c>
      <c r="AP2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67" s="1"/>
      <c r="AR267" s="1"/>
    </row>
    <row r="268" spans="1:44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39</v>
      </c>
      <c r="X268">
        <v>2662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85</v>
      </c>
      <c r="AJ268">
        <v>68</v>
      </c>
      <c r="AK268">
        <v>0</v>
      </c>
      <c r="AL268">
        <f t="shared" si="4"/>
        <v>102</v>
      </c>
      <c r="AM268">
        <f>IF(OR(Table1[[#This Row],[marital_Married]]=1,Table1[[#This Row],[marital_Together]]=1),1,0)</f>
        <v>1</v>
      </c>
      <c r="AN268" t="str">
        <f>IF(Table1[[#This Row],[Income]]&gt;=70000,"HIGH INCOME","LOW INCOME")</f>
        <v>LOW INCOME</v>
      </c>
      <c r="AO268" s="1" t="str">
        <f>IF(Table1[[#This Row],[MNT_TOTAL]]&gt;=900,"HIGH VALUE","LOW VALUE")</f>
        <v>LOW VALUE</v>
      </c>
      <c r="AP2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68" s="1"/>
      <c r="AR268" s="1"/>
    </row>
    <row r="269" spans="1:44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44</v>
      </c>
      <c r="X269">
        <v>2771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394</v>
      </c>
      <c r="AJ269">
        <v>212</v>
      </c>
      <c r="AK269">
        <v>0</v>
      </c>
      <c r="AL269">
        <f t="shared" si="4"/>
        <v>576</v>
      </c>
      <c r="AM269">
        <f>IF(OR(Table1[[#This Row],[marital_Married]]=1,Table1[[#This Row],[marital_Together]]=1),1,0)</f>
        <v>1</v>
      </c>
      <c r="AN269" t="str">
        <f>IF(Table1[[#This Row],[Income]]&gt;=70000,"HIGH INCOME","LOW INCOME")</f>
        <v>LOW INCOME</v>
      </c>
      <c r="AO269" s="1" t="str">
        <f>IF(Table1[[#This Row],[MNT_TOTAL]]&gt;=900,"HIGH VALUE","LOW VALUE")</f>
        <v>LOW VALUE</v>
      </c>
      <c r="AP2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69" s="1"/>
      <c r="AR269" s="1"/>
    </row>
    <row r="270" spans="1:44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74</v>
      </c>
      <c r="X270">
        <v>2826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289</v>
      </c>
      <c r="AJ270">
        <v>261</v>
      </c>
      <c r="AK270">
        <v>0</v>
      </c>
      <c r="AL270">
        <f t="shared" si="4"/>
        <v>317</v>
      </c>
      <c r="AM270">
        <f>IF(OR(Table1[[#This Row],[marital_Married]]=1,Table1[[#This Row],[marital_Together]]=1),1,0)</f>
        <v>1</v>
      </c>
      <c r="AN270" t="str">
        <f>IF(Table1[[#This Row],[Income]]&gt;=70000,"HIGH INCOME","LOW INCOME")</f>
        <v>LOW INCOME</v>
      </c>
      <c r="AO270" s="1" t="str">
        <f>IF(Table1[[#This Row],[MNT_TOTAL]]&gt;=900,"HIGH VALUE","LOW VALUE")</f>
        <v>LOW VALUE</v>
      </c>
      <c r="AP2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0" s="1"/>
      <c r="AR270" s="1"/>
    </row>
    <row r="271" spans="1:44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46</v>
      </c>
      <c r="X271">
        <v>2279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395</v>
      </c>
      <c r="AJ271">
        <v>329</v>
      </c>
      <c r="AK271">
        <v>0</v>
      </c>
      <c r="AL271">
        <f t="shared" si="4"/>
        <v>461</v>
      </c>
      <c r="AM271">
        <f>IF(OR(Table1[[#This Row],[marital_Married]]=1,Table1[[#This Row],[marital_Together]]=1),1,0)</f>
        <v>1</v>
      </c>
      <c r="AN271" t="str">
        <f>IF(Table1[[#This Row],[Income]]&gt;=70000,"HIGH INCOME","LOW INCOME")</f>
        <v>LOW INCOME</v>
      </c>
      <c r="AO271" s="1" t="str">
        <f>IF(Table1[[#This Row],[MNT_TOTAL]]&gt;=900,"HIGH VALUE","LOW VALUE")</f>
        <v>LOW VALUE</v>
      </c>
      <c r="AP2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1" s="1"/>
      <c r="AR271" s="1"/>
    </row>
    <row r="272" spans="1:44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45</v>
      </c>
      <c r="X272">
        <v>2232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34</v>
      </c>
      <c r="AJ272">
        <v>31</v>
      </c>
      <c r="AK272">
        <v>0</v>
      </c>
      <c r="AL272">
        <f t="shared" si="4"/>
        <v>37</v>
      </c>
      <c r="AM272">
        <f>IF(OR(Table1[[#This Row],[marital_Married]]=1,Table1[[#This Row],[marital_Together]]=1),1,0)</f>
        <v>1</v>
      </c>
      <c r="AN272" t="str">
        <f>IF(Table1[[#This Row],[Income]]&gt;=70000,"HIGH INCOME","LOW INCOME")</f>
        <v>LOW INCOME</v>
      </c>
      <c r="AO272" s="1" t="str">
        <f>IF(Table1[[#This Row],[MNT_TOTAL]]&gt;=900,"HIGH VALUE","LOW VALUE")</f>
        <v>LOW VALUE</v>
      </c>
      <c r="AP2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2" s="1"/>
      <c r="AR272" s="1"/>
    </row>
    <row r="273" spans="1:44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46</v>
      </c>
      <c r="X273">
        <v>2511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50</v>
      </c>
      <c r="AJ273">
        <v>30</v>
      </c>
      <c r="AK273">
        <v>0</v>
      </c>
      <c r="AL273">
        <f t="shared" si="4"/>
        <v>70</v>
      </c>
      <c r="AM273">
        <f>IF(OR(Table1[[#This Row],[marital_Married]]=1,Table1[[#This Row],[marital_Together]]=1),1,0)</f>
        <v>1</v>
      </c>
      <c r="AN273" t="str">
        <f>IF(Table1[[#This Row],[Income]]&gt;=70000,"HIGH INCOME","LOW INCOME")</f>
        <v>LOW INCOME</v>
      </c>
      <c r="AO273" s="1" t="str">
        <f>IF(Table1[[#This Row],[MNT_TOTAL]]&gt;=900,"HIGH VALUE","LOW VALUE")</f>
        <v>LOW VALUE</v>
      </c>
      <c r="AP2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3" s="1"/>
      <c r="AR273" s="1"/>
    </row>
    <row r="274" spans="1:44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68</v>
      </c>
      <c r="X274">
        <v>2675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856</v>
      </c>
      <c r="AJ274">
        <v>782</v>
      </c>
      <c r="AK274">
        <v>0</v>
      </c>
      <c r="AL274">
        <f t="shared" si="4"/>
        <v>930</v>
      </c>
      <c r="AM274">
        <f>IF(OR(Table1[[#This Row],[marital_Married]]=1,Table1[[#This Row],[marital_Together]]=1),1,0)</f>
        <v>1</v>
      </c>
      <c r="AN274" t="str">
        <f>IF(Table1[[#This Row],[Income]]&gt;=70000,"HIGH INCOME","LOW INCOME")</f>
        <v>HIGH INCOME</v>
      </c>
      <c r="AO274" s="1" t="str">
        <f>IF(Table1[[#This Row],[MNT_TOTAL]]&gt;=900,"HIGH VALUE","LOW VALUE")</f>
        <v>HIGH VALUE</v>
      </c>
      <c r="AP2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74" s="1"/>
      <c r="AR274" s="1"/>
    </row>
    <row r="275" spans="1:44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64</v>
      </c>
      <c r="X275">
        <v>2696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724</v>
      </c>
      <c r="AJ275">
        <v>589</v>
      </c>
      <c r="AK275">
        <v>0</v>
      </c>
      <c r="AL275">
        <f t="shared" si="4"/>
        <v>859</v>
      </c>
      <c r="AM275">
        <f>IF(OR(Table1[[#This Row],[marital_Married]]=1,Table1[[#This Row],[marital_Together]]=1),1,0)</f>
        <v>1</v>
      </c>
      <c r="AN275" t="str">
        <f>IF(Table1[[#This Row],[Income]]&gt;=70000,"HIGH INCOME","LOW INCOME")</f>
        <v>LOW INCOME</v>
      </c>
      <c r="AO275" s="1" t="str">
        <f>IF(Table1[[#This Row],[MNT_TOTAL]]&gt;=900,"HIGH VALUE","LOW VALUE")</f>
        <v>LOW VALUE</v>
      </c>
      <c r="AP2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5" s="1"/>
      <c r="AR275" s="1"/>
    </row>
    <row r="276" spans="1:44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54</v>
      </c>
      <c r="X276">
        <v>2207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1450</v>
      </c>
      <c r="AJ276">
        <v>1422</v>
      </c>
      <c r="AK276">
        <v>0</v>
      </c>
      <c r="AL276">
        <f t="shared" si="4"/>
        <v>1478</v>
      </c>
      <c r="AM276">
        <f>IF(OR(Table1[[#This Row],[marital_Married]]=1,Table1[[#This Row],[marital_Together]]=1),1,0)</f>
        <v>0</v>
      </c>
      <c r="AN276" t="str">
        <f>IF(Table1[[#This Row],[Income]]&gt;=70000,"HIGH INCOME","LOW INCOME")</f>
        <v>HIGH INCOME</v>
      </c>
      <c r="AO276" s="1" t="str">
        <f>IF(Table1[[#This Row],[MNT_TOTAL]]&gt;=900,"HIGH VALUE","LOW VALUE")</f>
        <v>HIGH VALUE</v>
      </c>
      <c r="AP2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76" s="1"/>
      <c r="AR276" s="1"/>
    </row>
    <row r="277" spans="1:44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71</v>
      </c>
      <c r="X277">
        <v>2540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339</v>
      </c>
      <c r="AJ277">
        <v>288</v>
      </c>
      <c r="AK277">
        <v>0</v>
      </c>
      <c r="AL277">
        <f t="shared" si="4"/>
        <v>390</v>
      </c>
      <c r="AM277">
        <f>IF(OR(Table1[[#This Row],[marital_Married]]=1,Table1[[#This Row],[marital_Together]]=1),1,0)</f>
        <v>0</v>
      </c>
      <c r="AN277" t="str">
        <f>IF(Table1[[#This Row],[Income]]&gt;=70000,"HIGH INCOME","LOW INCOME")</f>
        <v>LOW INCOME</v>
      </c>
      <c r="AO277" s="1" t="str">
        <f>IF(Table1[[#This Row],[MNT_TOTAL]]&gt;=900,"HIGH VALUE","LOW VALUE")</f>
        <v>LOW VALUE</v>
      </c>
      <c r="AP2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77" s="1"/>
      <c r="AR277" s="1"/>
    </row>
    <row r="278" spans="1:44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36</v>
      </c>
      <c r="X278">
        <v>2519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40</v>
      </c>
      <c r="AJ278">
        <v>28</v>
      </c>
      <c r="AK278">
        <v>1</v>
      </c>
      <c r="AL278">
        <f t="shared" si="4"/>
        <v>52</v>
      </c>
      <c r="AM278">
        <f>IF(OR(Table1[[#This Row],[marital_Married]]=1,Table1[[#This Row],[marital_Together]]=1),1,0)</f>
        <v>1</v>
      </c>
      <c r="AN278" t="str">
        <f>IF(Table1[[#This Row],[Income]]&gt;=70000,"HIGH INCOME","LOW INCOME")</f>
        <v>LOW INCOME</v>
      </c>
      <c r="AO278" s="1" t="str">
        <f>IF(Table1[[#This Row],[MNT_TOTAL]]&gt;=900,"HIGH VALUE","LOW VALUE")</f>
        <v>LOW VALUE</v>
      </c>
      <c r="AP2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8" s="1"/>
      <c r="AR278" s="1"/>
    </row>
    <row r="279" spans="1:44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51</v>
      </c>
      <c r="X279">
        <v>2343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123</v>
      </c>
      <c r="AJ279">
        <v>109</v>
      </c>
      <c r="AK279">
        <v>0</v>
      </c>
      <c r="AL279">
        <f t="shared" si="4"/>
        <v>137</v>
      </c>
      <c r="AM279">
        <f>IF(OR(Table1[[#This Row],[marital_Married]]=1,Table1[[#This Row],[marital_Together]]=1),1,0)</f>
        <v>1</v>
      </c>
      <c r="AN279" t="str">
        <f>IF(Table1[[#This Row],[Income]]&gt;=70000,"HIGH INCOME","LOW INCOME")</f>
        <v>LOW INCOME</v>
      </c>
      <c r="AO279" s="1" t="str">
        <f>IF(Table1[[#This Row],[MNT_TOTAL]]&gt;=900,"HIGH VALUE","LOW VALUE")</f>
        <v>LOW VALUE</v>
      </c>
      <c r="AP2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79" s="1"/>
      <c r="AR279" s="1"/>
    </row>
    <row r="280" spans="1:44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40</v>
      </c>
      <c r="X280">
        <v>2765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1716</v>
      </c>
      <c r="AJ280">
        <v>1513</v>
      </c>
      <c r="AK280">
        <v>1</v>
      </c>
      <c r="AL280">
        <f t="shared" si="4"/>
        <v>1919</v>
      </c>
      <c r="AM280">
        <f>IF(OR(Table1[[#This Row],[marital_Married]]=1,Table1[[#This Row],[marital_Together]]=1),1,0)</f>
        <v>1</v>
      </c>
      <c r="AN280" t="str">
        <f>IF(Table1[[#This Row],[Income]]&gt;=70000,"HIGH INCOME","LOW INCOME")</f>
        <v>HIGH INCOME</v>
      </c>
      <c r="AO280" s="1" t="str">
        <f>IF(Table1[[#This Row],[MNT_TOTAL]]&gt;=900,"HIGH VALUE","LOW VALUE")</f>
        <v>HIGH VALUE</v>
      </c>
      <c r="AP2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80" s="1"/>
      <c r="AR280" s="1"/>
    </row>
    <row r="281" spans="1:44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49</v>
      </c>
      <c r="X281">
        <v>2324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55</v>
      </c>
      <c r="AJ281">
        <v>42</v>
      </c>
      <c r="AK281">
        <v>0</v>
      </c>
      <c r="AL281">
        <f t="shared" si="4"/>
        <v>68</v>
      </c>
      <c r="AM281">
        <f>IF(OR(Table1[[#This Row],[marital_Married]]=1,Table1[[#This Row],[marital_Together]]=1),1,0)</f>
        <v>1</v>
      </c>
      <c r="AN281" t="str">
        <f>IF(Table1[[#This Row],[Income]]&gt;=70000,"HIGH INCOME","LOW INCOME")</f>
        <v>LOW INCOME</v>
      </c>
      <c r="AO281" s="1" t="str">
        <f>IF(Table1[[#This Row],[MNT_TOTAL]]&gt;=900,"HIGH VALUE","LOW VALUE")</f>
        <v>LOW VALUE</v>
      </c>
      <c r="AP2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81" s="1"/>
      <c r="AR281" s="1"/>
    </row>
    <row r="282" spans="1:44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55</v>
      </c>
      <c r="X282">
        <v>2633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17</v>
      </c>
      <c r="AJ282">
        <v>9</v>
      </c>
      <c r="AK282">
        <v>0</v>
      </c>
      <c r="AL282">
        <f t="shared" si="4"/>
        <v>25</v>
      </c>
      <c r="AM282">
        <f>IF(OR(Table1[[#This Row],[marital_Married]]=1,Table1[[#This Row],[marital_Together]]=1),1,0)</f>
        <v>1</v>
      </c>
      <c r="AN282" t="str">
        <f>IF(Table1[[#This Row],[Income]]&gt;=70000,"HIGH INCOME","LOW INCOME")</f>
        <v>LOW INCOME</v>
      </c>
      <c r="AO282" s="1" t="str">
        <f>IF(Table1[[#This Row],[MNT_TOTAL]]&gt;=900,"HIGH VALUE","LOW VALUE")</f>
        <v>LOW VALUE</v>
      </c>
      <c r="AP2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82" s="1"/>
      <c r="AR282" s="1"/>
    </row>
    <row r="283" spans="1:44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68</v>
      </c>
      <c r="X283">
        <v>2834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1334</v>
      </c>
      <c r="AJ283">
        <v>1294</v>
      </c>
      <c r="AK283">
        <v>2</v>
      </c>
      <c r="AL283">
        <f t="shared" si="4"/>
        <v>1374</v>
      </c>
      <c r="AM283">
        <f>IF(OR(Table1[[#This Row],[marital_Married]]=1,Table1[[#This Row],[marital_Together]]=1),1,0)</f>
        <v>1</v>
      </c>
      <c r="AN283" t="str">
        <f>IF(Table1[[#This Row],[Income]]&gt;=70000,"HIGH INCOME","LOW INCOME")</f>
        <v>LOW INCOME</v>
      </c>
      <c r="AO283" s="1" t="str">
        <f>IF(Table1[[#This Row],[MNT_TOTAL]]&gt;=900,"HIGH VALUE","LOW VALUE")</f>
        <v>HIGH VALUE</v>
      </c>
      <c r="AP2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83" s="1"/>
      <c r="AR283" s="1"/>
    </row>
    <row r="284" spans="1:44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32</v>
      </c>
      <c r="X284">
        <v>2638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24</v>
      </c>
      <c r="AJ284">
        <v>16</v>
      </c>
      <c r="AK284">
        <v>0</v>
      </c>
      <c r="AL284">
        <f t="shared" si="4"/>
        <v>32</v>
      </c>
      <c r="AM284">
        <f>IF(OR(Table1[[#This Row],[marital_Married]]=1,Table1[[#This Row],[marital_Together]]=1),1,0)</f>
        <v>0</v>
      </c>
      <c r="AN284" t="str">
        <f>IF(Table1[[#This Row],[Income]]&gt;=70000,"HIGH INCOME","LOW INCOME")</f>
        <v>LOW INCOME</v>
      </c>
      <c r="AO284" s="1" t="str">
        <f>IF(Table1[[#This Row],[MNT_TOTAL]]&gt;=900,"HIGH VALUE","LOW VALUE")</f>
        <v>LOW VALUE</v>
      </c>
      <c r="AP2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84" s="1"/>
      <c r="AR284" s="1"/>
    </row>
    <row r="285" spans="1:44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34</v>
      </c>
      <c r="X285">
        <v>2691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89</v>
      </c>
      <c r="AJ285">
        <v>78</v>
      </c>
      <c r="AK285">
        <v>0</v>
      </c>
      <c r="AL285">
        <f t="shared" si="4"/>
        <v>100</v>
      </c>
      <c r="AM285">
        <f>IF(OR(Table1[[#This Row],[marital_Married]]=1,Table1[[#This Row],[marital_Together]]=1),1,0)</f>
        <v>1</v>
      </c>
      <c r="AN285" t="str">
        <f>IF(Table1[[#This Row],[Income]]&gt;=70000,"HIGH INCOME","LOW INCOME")</f>
        <v>LOW INCOME</v>
      </c>
      <c r="AO285" s="1" t="str">
        <f>IF(Table1[[#This Row],[MNT_TOTAL]]&gt;=900,"HIGH VALUE","LOW VALUE")</f>
        <v>LOW VALUE</v>
      </c>
      <c r="AP2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85" s="1"/>
      <c r="AR285" s="1"/>
    </row>
    <row r="286" spans="1:44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38</v>
      </c>
      <c r="X286">
        <v>2692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787</v>
      </c>
      <c r="AJ286">
        <v>749</v>
      </c>
      <c r="AK286">
        <v>0</v>
      </c>
      <c r="AL286">
        <f t="shared" si="4"/>
        <v>825</v>
      </c>
      <c r="AM286">
        <f>IF(OR(Table1[[#This Row],[marital_Married]]=1,Table1[[#This Row],[marital_Together]]=1),1,0)</f>
        <v>0</v>
      </c>
      <c r="AN286" t="str">
        <f>IF(Table1[[#This Row],[Income]]&gt;=70000,"HIGH INCOME","LOW INCOME")</f>
        <v>LOW INCOME</v>
      </c>
      <c r="AO286" s="1" t="str">
        <f>IF(Table1[[#This Row],[MNT_TOTAL]]&gt;=900,"HIGH VALUE","LOW VALUE")</f>
        <v>LOW VALUE</v>
      </c>
      <c r="AP2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86" s="1"/>
      <c r="AR286" s="1"/>
    </row>
    <row r="287" spans="1:44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55</v>
      </c>
      <c r="X287">
        <v>2263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881</v>
      </c>
      <c r="AJ287">
        <v>846</v>
      </c>
      <c r="AK287">
        <v>1</v>
      </c>
      <c r="AL287">
        <f t="shared" si="4"/>
        <v>916</v>
      </c>
      <c r="AM287">
        <f>IF(OR(Table1[[#This Row],[marital_Married]]=1,Table1[[#This Row],[marital_Together]]=1),1,0)</f>
        <v>0</v>
      </c>
      <c r="AN287" t="str">
        <f>IF(Table1[[#This Row],[Income]]&gt;=70000,"HIGH INCOME","LOW INCOME")</f>
        <v>LOW INCOME</v>
      </c>
      <c r="AO287" s="1" t="str">
        <f>IF(Table1[[#This Row],[MNT_TOTAL]]&gt;=900,"HIGH VALUE","LOW VALUE")</f>
        <v>HIGH VALUE</v>
      </c>
      <c r="AP2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87" s="1"/>
      <c r="AR287" s="1"/>
    </row>
    <row r="288" spans="1:44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62</v>
      </c>
      <c r="X288">
        <v>2233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52</v>
      </c>
      <c r="AJ288">
        <v>42</v>
      </c>
      <c r="AK288">
        <v>0</v>
      </c>
      <c r="AL288">
        <f t="shared" si="4"/>
        <v>62</v>
      </c>
      <c r="AM288">
        <f>IF(OR(Table1[[#This Row],[marital_Married]]=1,Table1[[#This Row],[marital_Together]]=1),1,0)</f>
        <v>0</v>
      </c>
      <c r="AN288" t="str">
        <f>IF(Table1[[#This Row],[Income]]&gt;=70000,"HIGH INCOME","LOW INCOME")</f>
        <v>LOW INCOME</v>
      </c>
      <c r="AO288" s="1" t="str">
        <f>IF(Table1[[#This Row],[MNT_TOTAL]]&gt;=900,"HIGH VALUE","LOW VALUE")</f>
        <v>LOW VALUE</v>
      </c>
      <c r="AP2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88" s="1"/>
      <c r="AR288" s="1"/>
    </row>
    <row r="289" spans="1:44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64</v>
      </c>
      <c r="X289">
        <v>2419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700</v>
      </c>
      <c r="AJ289">
        <v>672</v>
      </c>
      <c r="AK289">
        <v>0</v>
      </c>
      <c r="AL289">
        <f t="shared" si="4"/>
        <v>728</v>
      </c>
      <c r="AM289">
        <f>IF(OR(Table1[[#This Row],[marital_Married]]=1,Table1[[#This Row],[marital_Together]]=1),1,0)</f>
        <v>1</v>
      </c>
      <c r="AN289" t="str">
        <f>IF(Table1[[#This Row],[Income]]&gt;=70000,"HIGH INCOME","LOW INCOME")</f>
        <v>LOW INCOME</v>
      </c>
      <c r="AO289" s="1" t="str">
        <f>IF(Table1[[#This Row],[MNT_TOTAL]]&gt;=900,"HIGH VALUE","LOW VALUE")</f>
        <v>LOW VALUE</v>
      </c>
      <c r="AP2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89" s="1"/>
      <c r="AR289" s="1"/>
    </row>
    <row r="290" spans="1:44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42</v>
      </c>
      <c r="X290">
        <v>2279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90</v>
      </c>
      <c r="AJ290">
        <v>90</v>
      </c>
      <c r="AK290">
        <v>0</v>
      </c>
      <c r="AL290">
        <f t="shared" si="4"/>
        <v>90</v>
      </c>
      <c r="AM290">
        <f>IF(OR(Table1[[#This Row],[marital_Married]]=1,Table1[[#This Row],[marital_Together]]=1),1,0)</f>
        <v>1</v>
      </c>
      <c r="AN290" t="str">
        <f>IF(Table1[[#This Row],[Income]]&gt;=70000,"HIGH INCOME","LOW INCOME")</f>
        <v>LOW INCOME</v>
      </c>
      <c r="AO290" s="1" t="str">
        <f>IF(Table1[[#This Row],[MNT_TOTAL]]&gt;=900,"HIGH VALUE","LOW VALUE")</f>
        <v>LOW VALUE</v>
      </c>
      <c r="AP2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90" s="1"/>
      <c r="AR290" s="1"/>
    </row>
    <row r="291" spans="1:44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32</v>
      </c>
      <c r="X291">
        <v>2236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221</v>
      </c>
      <c r="AJ291">
        <v>169</v>
      </c>
      <c r="AK291">
        <v>0</v>
      </c>
      <c r="AL291">
        <f t="shared" si="4"/>
        <v>273</v>
      </c>
      <c r="AM291">
        <f>IF(OR(Table1[[#This Row],[marital_Married]]=1,Table1[[#This Row],[marital_Together]]=1),1,0)</f>
        <v>0</v>
      </c>
      <c r="AN291" t="str">
        <f>IF(Table1[[#This Row],[Income]]&gt;=70000,"HIGH INCOME","LOW INCOME")</f>
        <v>LOW INCOME</v>
      </c>
      <c r="AO291" s="1" t="str">
        <f>IF(Table1[[#This Row],[MNT_TOTAL]]&gt;=900,"HIGH VALUE","LOW VALUE")</f>
        <v>LOW VALUE</v>
      </c>
      <c r="AP2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91" s="1"/>
      <c r="AR291" s="1"/>
    </row>
    <row r="292" spans="1:44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36</v>
      </c>
      <c r="X292">
        <v>2343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41</v>
      </c>
      <c r="AJ292">
        <v>16</v>
      </c>
      <c r="AK292">
        <v>0</v>
      </c>
      <c r="AL292">
        <f t="shared" si="4"/>
        <v>66</v>
      </c>
      <c r="AM292">
        <f>IF(OR(Table1[[#This Row],[marital_Married]]=1,Table1[[#This Row],[marital_Together]]=1),1,0)</f>
        <v>1</v>
      </c>
      <c r="AN292" t="str">
        <f>IF(Table1[[#This Row],[Income]]&gt;=70000,"HIGH INCOME","LOW INCOME")</f>
        <v>LOW INCOME</v>
      </c>
      <c r="AO292" s="1" t="str">
        <f>IF(Table1[[#This Row],[MNT_TOTAL]]&gt;=900,"HIGH VALUE","LOW VALUE")</f>
        <v>LOW VALUE</v>
      </c>
      <c r="AP2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92" s="1"/>
      <c r="AR292" s="1"/>
    </row>
    <row r="293" spans="1:44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59</v>
      </c>
      <c r="X293">
        <v>2617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1150</v>
      </c>
      <c r="AJ293">
        <v>1087</v>
      </c>
      <c r="AK293">
        <v>1</v>
      </c>
      <c r="AL293">
        <f t="shared" si="4"/>
        <v>1213</v>
      </c>
      <c r="AM293">
        <f>IF(OR(Table1[[#This Row],[marital_Married]]=1,Table1[[#This Row],[marital_Together]]=1),1,0)</f>
        <v>1</v>
      </c>
      <c r="AN293" t="str">
        <f>IF(Table1[[#This Row],[Income]]&gt;=70000,"HIGH INCOME","LOW INCOME")</f>
        <v>HIGH INCOME</v>
      </c>
      <c r="AO293" s="1" t="str">
        <f>IF(Table1[[#This Row],[MNT_TOTAL]]&gt;=900,"HIGH VALUE","LOW VALUE")</f>
        <v>HIGH VALUE</v>
      </c>
      <c r="AP2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93" s="1"/>
      <c r="AR293" s="1"/>
    </row>
    <row r="294" spans="1:44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54</v>
      </c>
      <c r="X294">
        <v>2808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92</v>
      </c>
      <c r="AJ294">
        <v>77</v>
      </c>
      <c r="AK294">
        <v>0</v>
      </c>
      <c r="AL294">
        <f t="shared" si="4"/>
        <v>107</v>
      </c>
      <c r="AM294">
        <f>IF(OR(Table1[[#This Row],[marital_Married]]=1,Table1[[#This Row],[marital_Together]]=1),1,0)</f>
        <v>0</v>
      </c>
      <c r="AN294" t="str">
        <f>IF(Table1[[#This Row],[Income]]&gt;=70000,"HIGH INCOME","LOW INCOME")</f>
        <v>LOW INCOME</v>
      </c>
      <c r="AO294" s="1" t="str">
        <f>IF(Table1[[#This Row],[MNT_TOTAL]]&gt;=900,"HIGH VALUE","LOW VALUE")</f>
        <v>LOW VALUE</v>
      </c>
      <c r="AP2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94" s="1"/>
      <c r="AR294" s="1"/>
    </row>
    <row r="295" spans="1:44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73</v>
      </c>
      <c r="X295">
        <v>2275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1146</v>
      </c>
      <c r="AJ295">
        <v>1135</v>
      </c>
      <c r="AK295">
        <v>1</v>
      </c>
      <c r="AL295">
        <f t="shared" si="4"/>
        <v>1157</v>
      </c>
      <c r="AM295">
        <f>IF(OR(Table1[[#This Row],[marital_Married]]=1,Table1[[#This Row],[marital_Together]]=1),1,0)</f>
        <v>0</v>
      </c>
      <c r="AN295" t="str">
        <f>IF(Table1[[#This Row],[Income]]&gt;=70000,"HIGH INCOME","LOW INCOME")</f>
        <v>HIGH INCOME</v>
      </c>
      <c r="AO295" s="1" t="str">
        <f>IF(Table1[[#This Row],[MNT_TOTAL]]&gt;=900,"HIGH VALUE","LOW VALUE")</f>
        <v>HIGH VALUE</v>
      </c>
      <c r="AP2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95" s="1"/>
      <c r="AR295" s="1"/>
    </row>
    <row r="296" spans="1:44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56</v>
      </c>
      <c r="X296">
        <v>2451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536</v>
      </c>
      <c r="AJ296">
        <v>526</v>
      </c>
      <c r="AK296">
        <v>1</v>
      </c>
      <c r="AL296">
        <f t="shared" si="4"/>
        <v>546</v>
      </c>
      <c r="AM296">
        <f>IF(OR(Table1[[#This Row],[marital_Married]]=1,Table1[[#This Row],[marital_Together]]=1),1,0)</f>
        <v>1</v>
      </c>
      <c r="AN296" t="str">
        <f>IF(Table1[[#This Row],[Income]]&gt;=70000,"HIGH INCOME","LOW INCOME")</f>
        <v>LOW INCOME</v>
      </c>
      <c r="AO296" s="1" t="str">
        <f>IF(Table1[[#This Row],[MNT_TOTAL]]&gt;=900,"HIGH VALUE","LOW VALUE")</f>
        <v>LOW VALUE</v>
      </c>
      <c r="AP2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96" s="1"/>
      <c r="AR296" s="1"/>
    </row>
    <row r="297" spans="1:44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28</v>
      </c>
      <c r="X297">
        <v>2587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226</v>
      </c>
      <c r="AJ297">
        <v>211</v>
      </c>
      <c r="AK297">
        <v>0</v>
      </c>
      <c r="AL297">
        <f t="shared" si="4"/>
        <v>241</v>
      </c>
      <c r="AM297">
        <f>IF(OR(Table1[[#This Row],[marital_Married]]=1,Table1[[#This Row],[marital_Together]]=1),1,0)</f>
        <v>1</v>
      </c>
      <c r="AN297" t="str">
        <f>IF(Table1[[#This Row],[Income]]&gt;=70000,"HIGH INCOME","LOW INCOME")</f>
        <v>LOW INCOME</v>
      </c>
      <c r="AO297" s="1" t="str">
        <f>IF(Table1[[#This Row],[MNT_TOTAL]]&gt;=900,"HIGH VALUE","LOW VALUE")</f>
        <v>LOW VALUE</v>
      </c>
      <c r="AP2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97" s="1"/>
      <c r="AR297" s="1"/>
    </row>
    <row r="298" spans="1:44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44</v>
      </c>
      <c r="X298">
        <v>2321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36</v>
      </c>
      <c r="AJ298">
        <v>19</v>
      </c>
      <c r="AK298">
        <v>0</v>
      </c>
      <c r="AL298">
        <f t="shared" si="4"/>
        <v>53</v>
      </c>
      <c r="AM298">
        <f>IF(OR(Table1[[#This Row],[marital_Married]]=1,Table1[[#This Row],[marital_Together]]=1),1,0)</f>
        <v>0</v>
      </c>
      <c r="AN298" t="str">
        <f>IF(Table1[[#This Row],[Income]]&gt;=70000,"HIGH INCOME","LOW INCOME")</f>
        <v>LOW INCOME</v>
      </c>
      <c r="AO298" s="1" t="str">
        <f>IF(Table1[[#This Row],[MNT_TOTAL]]&gt;=900,"HIGH VALUE","LOW VALUE")</f>
        <v>LOW VALUE</v>
      </c>
      <c r="AP2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98" s="1"/>
      <c r="AR298" s="1"/>
    </row>
    <row r="299" spans="1:44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53</v>
      </c>
      <c r="X299">
        <v>2403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35</v>
      </c>
      <c r="AJ299">
        <v>33</v>
      </c>
      <c r="AK299">
        <v>0</v>
      </c>
      <c r="AL299">
        <f t="shared" si="4"/>
        <v>37</v>
      </c>
      <c r="AM299">
        <f>IF(OR(Table1[[#This Row],[marital_Married]]=1,Table1[[#This Row],[marital_Together]]=1),1,0)</f>
        <v>1</v>
      </c>
      <c r="AN299" t="str">
        <f>IF(Table1[[#This Row],[Income]]&gt;=70000,"HIGH INCOME","LOW INCOME")</f>
        <v>LOW INCOME</v>
      </c>
      <c r="AO299" s="1" t="str">
        <f>IF(Table1[[#This Row],[MNT_TOTAL]]&gt;=900,"HIGH VALUE","LOW VALUE")</f>
        <v>LOW VALUE</v>
      </c>
      <c r="AP2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99" s="1"/>
      <c r="AR299" s="1"/>
    </row>
    <row r="300" spans="1:44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44</v>
      </c>
      <c r="X300">
        <v>2667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1494</v>
      </c>
      <c r="AJ300">
        <v>1480</v>
      </c>
      <c r="AK300">
        <v>0</v>
      </c>
      <c r="AL300">
        <f t="shared" si="4"/>
        <v>1508</v>
      </c>
      <c r="AM300">
        <f>IF(OR(Table1[[#This Row],[marital_Married]]=1,Table1[[#This Row],[marital_Together]]=1),1,0)</f>
        <v>0</v>
      </c>
      <c r="AN300" t="str">
        <f>IF(Table1[[#This Row],[Income]]&gt;=70000,"HIGH INCOME","LOW INCOME")</f>
        <v>HIGH INCOME</v>
      </c>
      <c r="AO300" s="1" t="str">
        <f>IF(Table1[[#This Row],[MNT_TOTAL]]&gt;=900,"HIGH VALUE","LOW VALUE")</f>
        <v>HIGH VALUE</v>
      </c>
      <c r="AP3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00" s="1"/>
      <c r="AR300" s="1"/>
    </row>
    <row r="301" spans="1:44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54</v>
      </c>
      <c r="X301">
        <v>2353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218</v>
      </c>
      <c r="AJ301">
        <v>201</v>
      </c>
      <c r="AK301">
        <v>0</v>
      </c>
      <c r="AL301">
        <f t="shared" si="4"/>
        <v>235</v>
      </c>
      <c r="AM301">
        <f>IF(OR(Table1[[#This Row],[marital_Married]]=1,Table1[[#This Row],[marital_Together]]=1),1,0)</f>
        <v>1</v>
      </c>
      <c r="AN301" t="str">
        <f>IF(Table1[[#This Row],[Income]]&gt;=70000,"HIGH INCOME","LOW INCOME")</f>
        <v>LOW INCOME</v>
      </c>
      <c r="AO301" s="1" t="str">
        <f>IF(Table1[[#This Row],[MNT_TOTAL]]&gt;=900,"HIGH VALUE","LOW VALUE")</f>
        <v>LOW VALUE</v>
      </c>
      <c r="AP3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1" s="1"/>
      <c r="AR301" s="1"/>
    </row>
    <row r="302" spans="1:44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64</v>
      </c>
      <c r="X302">
        <v>2269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31</v>
      </c>
      <c r="AJ302">
        <v>30</v>
      </c>
      <c r="AK302">
        <v>0</v>
      </c>
      <c r="AL302">
        <f t="shared" si="4"/>
        <v>32</v>
      </c>
      <c r="AM302">
        <f>IF(OR(Table1[[#This Row],[marital_Married]]=1,Table1[[#This Row],[marital_Together]]=1),1,0)</f>
        <v>1</v>
      </c>
      <c r="AN302" t="str">
        <f>IF(Table1[[#This Row],[Income]]&gt;=70000,"HIGH INCOME","LOW INCOME")</f>
        <v>LOW INCOME</v>
      </c>
      <c r="AO302" s="1" t="str">
        <f>IF(Table1[[#This Row],[MNT_TOTAL]]&gt;=900,"HIGH VALUE","LOW VALUE")</f>
        <v>LOW VALUE</v>
      </c>
      <c r="AP3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2" s="1"/>
      <c r="AR302" s="1"/>
    </row>
    <row r="303" spans="1:44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48</v>
      </c>
      <c r="X303">
        <v>2494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75</v>
      </c>
      <c r="AJ303">
        <v>48</v>
      </c>
      <c r="AK303">
        <v>0</v>
      </c>
      <c r="AL303">
        <f t="shared" si="4"/>
        <v>102</v>
      </c>
      <c r="AM303">
        <f>IF(OR(Table1[[#This Row],[marital_Married]]=1,Table1[[#This Row],[marital_Together]]=1),1,0)</f>
        <v>1</v>
      </c>
      <c r="AN303" t="str">
        <f>IF(Table1[[#This Row],[Income]]&gt;=70000,"HIGH INCOME","LOW INCOME")</f>
        <v>LOW INCOME</v>
      </c>
      <c r="AO303" s="1" t="str">
        <f>IF(Table1[[#This Row],[MNT_TOTAL]]&gt;=900,"HIGH VALUE","LOW VALUE")</f>
        <v>LOW VALUE</v>
      </c>
      <c r="AP3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3" s="1"/>
      <c r="AR303" s="1"/>
    </row>
    <row r="304" spans="1:44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35</v>
      </c>
      <c r="X304">
        <v>2843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351</v>
      </c>
      <c r="AJ304">
        <v>301</v>
      </c>
      <c r="AK304">
        <v>0</v>
      </c>
      <c r="AL304">
        <f t="shared" si="4"/>
        <v>401</v>
      </c>
      <c r="AM304">
        <f>IF(OR(Table1[[#This Row],[marital_Married]]=1,Table1[[#This Row],[marital_Together]]=1),1,0)</f>
        <v>0</v>
      </c>
      <c r="AN304" t="str">
        <f>IF(Table1[[#This Row],[Income]]&gt;=70000,"HIGH INCOME","LOW INCOME")</f>
        <v>LOW INCOME</v>
      </c>
      <c r="AO304" s="1" t="str">
        <f>IF(Table1[[#This Row],[MNT_TOTAL]]&gt;=900,"HIGH VALUE","LOW VALUE")</f>
        <v>LOW VALUE</v>
      </c>
      <c r="AP3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04" s="1"/>
      <c r="AR304" s="1"/>
    </row>
    <row r="305" spans="1:44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69</v>
      </c>
      <c r="X305">
        <v>2507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22</v>
      </c>
      <c r="AJ305">
        <v>16</v>
      </c>
      <c r="AK305">
        <v>0</v>
      </c>
      <c r="AL305">
        <f t="shared" si="4"/>
        <v>28</v>
      </c>
      <c r="AM305">
        <f>IF(OR(Table1[[#This Row],[marital_Married]]=1,Table1[[#This Row],[marital_Together]]=1),1,0)</f>
        <v>1</v>
      </c>
      <c r="AN305" t="str">
        <f>IF(Table1[[#This Row],[Income]]&gt;=70000,"HIGH INCOME","LOW INCOME")</f>
        <v>LOW INCOME</v>
      </c>
      <c r="AO305" s="1" t="str">
        <f>IF(Table1[[#This Row],[MNT_TOTAL]]&gt;=900,"HIGH VALUE","LOW VALUE")</f>
        <v>LOW VALUE</v>
      </c>
      <c r="AP3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5" s="1"/>
      <c r="AR305" s="1"/>
    </row>
    <row r="306" spans="1:44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49</v>
      </c>
      <c r="X306">
        <v>2687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603</v>
      </c>
      <c r="AJ306">
        <v>526</v>
      </c>
      <c r="AK306">
        <v>0</v>
      </c>
      <c r="AL306">
        <f t="shared" si="4"/>
        <v>680</v>
      </c>
      <c r="AM306">
        <f>IF(OR(Table1[[#This Row],[marital_Married]]=1,Table1[[#This Row],[marital_Together]]=1),1,0)</f>
        <v>1</v>
      </c>
      <c r="AN306" t="str">
        <f>IF(Table1[[#This Row],[Income]]&gt;=70000,"HIGH INCOME","LOW INCOME")</f>
        <v>LOW INCOME</v>
      </c>
      <c r="AO306" s="1" t="str">
        <f>IF(Table1[[#This Row],[MNT_TOTAL]]&gt;=900,"HIGH VALUE","LOW VALUE")</f>
        <v>LOW VALUE</v>
      </c>
      <c r="AP3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6" s="1"/>
      <c r="AR306" s="1"/>
    </row>
    <row r="307" spans="1:44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46</v>
      </c>
      <c r="X307">
        <v>2522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21</v>
      </c>
      <c r="AJ307">
        <v>12</v>
      </c>
      <c r="AK307">
        <v>0</v>
      </c>
      <c r="AL307">
        <f t="shared" si="4"/>
        <v>30</v>
      </c>
      <c r="AM307">
        <f>IF(OR(Table1[[#This Row],[marital_Married]]=1,Table1[[#This Row],[marital_Together]]=1),1,0)</f>
        <v>1</v>
      </c>
      <c r="AN307" t="str">
        <f>IF(Table1[[#This Row],[Income]]&gt;=70000,"HIGH INCOME","LOW INCOME")</f>
        <v>LOW INCOME</v>
      </c>
      <c r="AO307" s="1" t="str">
        <f>IF(Table1[[#This Row],[MNT_TOTAL]]&gt;=900,"HIGH VALUE","LOW VALUE")</f>
        <v>LOW VALUE</v>
      </c>
      <c r="AP3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07" s="1"/>
      <c r="AR307" s="1"/>
    </row>
    <row r="308" spans="1:44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55</v>
      </c>
      <c r="X308">
        <v>2299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19</v>
      </c>
      <c r="AJ308">
        <v>18</v>
      </c>
      <c r="AK308">
        <v>0</v>
      </c>
      <c r="AL308">
        <f t="shared" si="4"/>
        <v>20</v>
      </c>
      <c r="AM308">
        <f>IF(OR(Table1[[#This Row],[marital_Married]]=1,Table1[[#This Row],[marital_Together]]=1),1,0)</f>
        <v>0</v>
      </c>
      <c r="AN308" t="str">
        <f>IF(Table1[[#This Row],[Income]]&gt;=70000,"HIGH INCOME","LOW INCOME")</f>
        <v>LOW INCOME</v>
      </c>
      <c r="AO308" s="1" t="str">
        <f>IF(Table1[[#This Row],[MNT_TOTAL]]&gt;=900,"HIGH VALUE","LOW VALUE")</f>
        <v>LOW VALUE</v>
      </c>
      <c r="AP3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08" s="1"/>
      <c r="AR308" s="1"/>
    </row>
    <row r="309" spans="1:44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59</v>
      </c>
      <c r="X309">
        <v>2666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1234</v>
      </c>
      <c r="AJ309">
        <v>1161</v>
      </c>
      <c r="AK309">
        <v>0</v>
      </c>
      <c r="AL309">
        <f t="shared" si="4"/>
        <v>1307</v>
      </c>
      <c r="AM309">
        <f>IF(OR(Table1[[#This Row],[marital_Married]]=1,Table1[[#This Row],[marital_Together]]=1),1,0)</f>
        <v>0</v>
      </c>
      <c r="AN309" t="str">
        <f>IF(Table1[[#This Row],[Income]]&gt;=70000,"HIGH INCOME","LOW INCOME")</f>
        <v>LOW INCOME</v>
      </c>
      <c r="AO309" s="1" t="str">
        <f>IF(Table1[[#This Row],[MNT_TOTAL]]&gt;=900,"HIGH VALUE","LOW VALUE")</f>
        <v>HIGH VALUE</v>
      </c>
      <c r="AP3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09" s="1"/>
      <c r="AR309" s="1"/>
    </row>
    <row r="310" spans="1:44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67</v>
      </c>
      <c r="X310">
        <v>2693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589</v>
      </c>
      <c r="AJ310">
        <v>548</v>
      </c>
      <c r="AK310">
        <v>0</v>
      </c>
      <c r="AL310">
        <f t="shared" si="4"/>
        <v>630</v>
      </c>
      <c r="AM310">
        <f>IF(OR(Table1[[#This Row],[marital_Married]]=1,Table1[[#This Row],[marital_Together]]=1),1,0)</f>
        <v>0</v>
      </c>
      <c r="AN310" t="str">
        <f>IF(Table1[[#This Row],[Income]]&gt;=70000,"HIGH INCOME","LOW INCOME")</f>
        <v>LOW INCOME</v>
      </c>
      <c r="AO310" s="1" t="str">
        <f>IF(Table1[[#This Row],[MNT_TOTAL]]&gt;=900,"HIGH VALUE","LOW VALUE")</f>
        <v>LOW VALUE</v>
      </c>
      <c r="AP3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0" s="1"/>
      <c r="AR310" s="1"/>
    </row>
    <row r="311" spans="1:44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63</v>
      </c>
      <c r="X311">
        <v>2518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1157</v>
      </c>
      <c r="AJ311">
        <v>1031</v>
      </c>
      <c r="AK311">
        <v>0</v>
      </c>
      <c r="AL311">
        <f t="shared" si="4"/>
        <v>1283</v>
      </c>
      <c r="AM311">
        <f>IF(OR(Table1[[#This Row],[marital_Married]]=1,Table1[[#This Row],[marital_Together]]=1),1,0)</f>
        <v>1</v>
      </c>
      <c r="AN311" t="str">
        <f>IF(Table1[[#This Row],[Income]]&gt;=70000,"HIGH INCOME","LOW INCOME")</f>
        <v>LOW INCOME</v>
      </c>
      <c r="AO311" s="1" t="str">
        <f>IF(Table1[[#This Row],[MNT_TOTAL]]&gt;=900,"HIGH VALUE","LOW VALUE")</f>
        <v>HIGH VALUE</v>
      </c>
      <c r="AP3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1" s="1"/>
      <c r="AR311" s="1"/>
    </row>
    <row r="312" spans="1:44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44</v>
      </c>
      <c r="X312">
        <v>2521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56</v>
      </c>
      <c r="AJ312">
        <v>47</v>
      </c>
      <c r="AK312">
        <v>0</v>
      </c>
      <c r="AL312">
        <f t="shared" si="4"/>
        <v>65</v>
      </c>
      <c r="AM312">
        <f>IF(OR(Table1[[#This Row],[marital_Married]]=1,Table1[[#This Row],[marital_Together]]=1),1,0)</f>
        <v>0</v>
      </c>
      <c r="AN312" t="str">
        <f>IF(Table1[[#This Row],[Income]]&gt;=70000,"HIGH INCOME","LOW INCOME")</f>
        <v>LOW INCOME</v>
      </c>
      <c r="AO312" s="1" t="str">
        <f>IF(Table1[[#This Row],[MNT_TOTAL]]&gt;=900,"HIGH VALUE","LOW VALUE")</f>
        <v>LOW VALUE</v>
      </c>
      <c r="AP3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2" s="1"/>
      <c r="AR312" s="1"/>
    </row>
    <row r="313" spans="1:44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36</v>
      </c>
      <c r="X313">
        <v>2393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35</v>
      </c>
      <c r="AJ313">
        <v>33</v>
      </c>
      <c r="AK313">
        <v>0</v>
      </c>
      <c r="AL313">
        <f t="shared" si="4"/>
        <v>37</v>
      </c>
      <c r="AM313">
        <f>IF(OR(Table1[[#This Row],[marital_Married]]=1,Table1[[#This Row],[marital_Together]]=1),1,0)</f>
        <v>1</v>
      </c>
      <c r="AN313" t="str">
        <f>IF(Table1[[#This Row],[Income]]&gt;=70000,"HIGH INCOME","LOW INCOME")</f>
        <v>LOW INCOME</v>
      </c>
      <c r="AO313" s="1" t="str">
        <f>IF(Table1[[#This Row],[MNT_TOTAL]]&gt;=900,"HIGH VALUE","LOW VALUE")</f>
        <v>LOW VALUE</v>
      </c>
      <c r="AP3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13" s="1"/>
      <c r="AR313" s="1"/>
    </row>
    <row r="314" spans="1:44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70</v>
      </c>
      <c r="X314">
        <v>2575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38</v>
      </c>
      <c r="AJ314">
        <v>38</v>
      </c>
      <c r="AK314">
        <v>0</v>
      </c>
      <c r="AL314">
        <f t="shared" si="4"/>
        <v>38</v>
      </c>
      <c r="AM314">
        <f>IF(OR(Table1[[#This Row],[marital_Married]]=1,Table1[[#This Row],[marital_Together]]=1),1,0)</f>
        <v>1</v>
      </c>
      <c r="AN314" t="str">
        <f>IF(Table1[[#This Row],[Income]]&gt;=70000,"HIGH INCOME","LOW INCOME")</f>
        <v>LOW INCOME</v>
      </c>
      <c r="AO314" s="1" t="str">
        <f>IF(Table1[[#This Row],[MNT_TOTAL]]&gt;=900,"HIGH VALUE","LOW VALUE")</f>
        <v>LOW VALUE</v>
      </c>
      <c r="AP3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14" s="1"/>
      <c r="AR314" s="1"/>
    </row>
    <row r="315" spans="1:44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34</v>
      </c>
      <c r="X315">
        <v>2660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149</v>
      </c>
      <c r="AJ315">
        <v>138</v>
      </c>
      <c r="AK315">
        <v>0</v>
      </c>
      <c r="AL315">
        <f t="shared" si="4"/>
        <v>160</v>
      </c>
      <c r="AM315">
        <f>IF(OR(Table1[[#This Row],[marital_Married]]=1,Table1[[#This Row],[marital_Together]]=1),1,0)</f>
        <v>0</v>
      </c>
      <c r="AN315" t="str">
        <f>IF(Table1[[#This Row],[Income]]&gt;=70000,"HIGH INCOME","LOW INCOME")</f>
        <v>LOW INCOME</v>
      </c>
      <c r="AO315" s="1" t="str">
        <f>IF(Table1[[#This Row],[MNT_TOTAL]]&gt;=900,"HIGH VALUE","LOW VALUE")</f>
        <v>LOW VALUE</v>
      </c>
      <c r="AP3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5" s="1"/>
      <c r="AR315" s="1"/>
    </row>
    <row r="316" spans="1:44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37</v>
      </c>
      <c r="X316">
        <v>2598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19</v>
      </c>
      <c r="AJ316">
        <v>15</v>
      </c>
      <c r="AK316">
        <v>0</v>
      </c>
      <c r="AL316">
        <f t="shared" si="4"/>
        <v>23</v>
      </c>
      <c r="AM316">
        <f>IF(OR(Table1[[#This Row],[marital_Married]]=1,Table1[[#This Row],[marital_Together]]=1),1,0)</f>
        <v>0</v>
      </c>
      <c r="AN316" t="str">
        <f>IF(Table1[[#This Row],[Income]]&gt;=70000,"HIGH INCOME","LOW INCOME")</f>
        <v>LOW INCOME</v>
      </c>
      <c r="AO316" s="1" t="str">
        <f>IF(Table1[[#This Row],[MNT_TOTAL]]&gt;=900,"HIGH VALUE","LOW VALUE")</f>
        <v>LOW VALUE</v>
      </c>
      <c r="AP3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6" s="1"/>
      <c r="AR316" s="1"/>
    </row>
    <row r="317" spans="1:44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31</v>
      </c>
      <c r="X317">
        <v>2450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65</v>
      </c>
      <c r="AJ317">
        <v>59</v>
      </c>
      <c r="AK317">
        <v>0</v>
      </c>
      <c r="AL317">
        <f t="shared" si="4"/>
        <v>71</v>
      </c>
      <c r="AM317">
        <f>IF(OR(Table1[[#This Row],[marital_Married]]=1,Table1[[#This Row],[marital_Together]]=1),1,0)</f>
        <v>0</v>
      </c>
      <c r="AN317" t="str">
        <f>IF(Table1[[#This Row],[Income]]&gt;=70000,"HIGH INCOME","LOW INCOME")</f>
        <v>LOW INCOME</v>
      </c>
      <c r="AO317" s="1" t="str">
        <f>IF(Table1[[#This Row],[MNT_TOTAL]]&gt;=900,"HIGH VALUE","LOW VALUE")</f>
        <v>LOW VALUE</v>
      </c>
      <c r="AP3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7" s="1"/>
      <c r="AR317" s="1"/>
    </row>
    <row r="318" spans="1:44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64</v>
      </c>
      <c r="X318">
        <v>2611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1138</v>
      </c>
      <c r="AJ318">
        <v>1115</v>
      </c>
      <c r="AK318">
        <v>0</v>
      </c>
      <c r="AL318">
        <f t="shared" si="4"/>
        <v>1161</v>
      </c>
      <c r="AM318">
        <f>IF(OR(Table1[[#This Row],[marital_Married]]=1,Table1[[#This Row],[marital_Together]]=1),1,0)</f>
        <v>1</v>
      </c>
      <c r="AN318" t="str">
        <f>IF(Table1[[#This Row],[Income]]&gt;=70000,"HIGH INCOME","LOW INCOME")</f>
        <v>LOW INCOME</v>
      </c>
      <c r="AO318" s="1" t="str">
        <f>IF(Table1[[#This Row],[MNT_TOTAL]]&gt;=900,"HIGH VALUE","LOW VALUE")</f>
        <v>HIGH VALUE</v>
      </c>
      <c r="AP3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18" s="1"/>
      <c r="AR318" s="1"/>
    </row>
    <row r="319" spans="1:44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49</v>
      </c>
      <c r="X319">
        <v>2694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41</v>
      </c>
      <c r="AJ319">
        <v>23</v>
      </c>
      <c r="AK319">
        <v>1</v>
      </c>
      <c r="AL319">
        <f t="shared" si="4"/>
        <v>59</v>
      </c>
      <c r="AM319">
        <f>IF(OR(Table1[[#This Row],[marital_Married]]=1,Table1[[#This Row],[marital_Together]]=1),1,0)</f>
        <v>1</v>
      </c>
      <c r="AN319" t="str">
        <f>IF(Table1[[#This Row],[Income]]&gt;=70000,"HIGH INCOME","LOW INCOME")</f>
        <v>LOW INCOME</v>
      </c>
      <c r="AO319" s="1" t="str">
        <f>IF(Table1[[#This Row],[MNT_TOTAL]]&gt;=900,"HIGH VALUE","LOW VALUE")</f>
        <v>LOW VALUE</v>
      </c>
      <c r="AP3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19" s="1"/>
      <c r="AR319" s="1"/>
    </row>
    <row r="320" spans="1:44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37</v>
      </c>
      <c r="X320">
        <v>2523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25</v>
      </c>
      <c r="AJ320">
        <v>17</v>
      </c>
      <c r="AK320">
        <v>0</v>
      </c>
      <c r="AL320">
        <f t="shared" si="4"/>
        <v>33</v>
      </c>
      <c r="AM320">
        <f>IF(OR(Table1[[#This Row],[marital_Married]]=1,Table1[[#This Row],[marital_Together]]=1),1,0)</f>
        <v>1</v>
      </c>
      <c r="AN320" t="str">
        <f>IF(Table1[[#This Row],[Income]]&gt;=70000,"HIGH INCOME","LOW INCOME")</f>
        <v>LOW INCOME</v>
      </c>
      <c r="AO320" s="1" t="str">
        <f>IF(Table1[[#This Row],[MNT_TOTAL]]&gt;=900,"HIGH VALUE","LOW VALUE")</f>
        <v>LOW VALUE</v>
      </c>
      <c r="AP3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20" s="1"/>
      <c r="AR320" s="1"/>
    </row>
    <row r="321" spans="1:44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60</v>
      </c>
      <c r="X321">
        <v>2814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807</v>
      </c>
      <c r="AJ321">
        <v>668</v>
      </c>
      <c r="AK321">
        <v>0</v>
      </c>
      <c r="AL321">
        <f t="shared" si="4"/>
        <v>946</v>
      </c>
      <c r="AM321">
        <f>IF(OR(Table1[[#This Row],[marital_Married]]=1,Table1[[#This Row],[marital_Together]]=1),1,0)</f>
        <v>0</v>
      </c>
      <c r="AN321" t="str">
        <f>IF(Table1[[#This Row],[Income]]&gt;=70000,"HIGH INCOME","LOW INCOME")</f>
        <v>LOW INCOME</v>
      </c>
      <c r="AO321" s="1" t="str">
        <f>IF(Table1[[#This Row],[MNT_TOTAL]]&gt;=900,"HIGH VALUE","LOW VALUE")</f>
        <v>HIGH VALUE</v>
      </c>
      <c r="AP3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21" s="1"/>
      <c r="AR321" s="1"/>
    </row>
    <row r="322" spans="1:44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1</v>
      </c>
      <c r="W322">
        <v>52</v>
      </c>
      <c r="X322">
        <v>2729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1412</v>
      </c>
      <c r="AJ322">
        <v>1382</v>
      </c>
      <c r="AK322">
        <v>3</v>
      </c>
      <c r="AL322">
        <f t="shared" ref="AL322:AL385" si="5">SUM(E322:J322)</f>
        <v>1442</v>
      </c>
      <c r="AM322">
        <f>IF(OR(Table1[[#This Row],[marital_Married]]=1,Table1[[#This Row],[marital_Together]]=1),1,0)</f>
        <v>0</v>
      </c>
      <c r="AN322" t="str">
        <f>IF(Table1[[#This Row],[Income]]&gt;=70000,"HIGH INCOME","LOW INCOME")</f>
        <v>HIGH INCOME</v>
      </c>
      <c r="AO322" s="1" t="str">
        <f>IF(Table1[[#This Row],[MNT_TOTAL]]&gt;=900,"HIGH VALUE","LOW VALUE")</f>
        <v>HIGH VALUE</v>
      </c>
      <c r="AP3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22" s="1"/>
      <c r="AR322" s="1"/>
    </row>
    <row r="323" spans="1:44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48</v>
      </c>
      <c r="X323">
        <v>2753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41</v>
      </c>
      <c r="AJ323">
        <v>20</v>
      </c>
      <c r="AK323">
        <v>0</v>
      </c>
      <c r="AL323">
        <f t="shared" si="5"/>
        <v>62</v>
      </c>
      <c r="AM323">
        <f>IF(OR(Table1[[#This Row],[marital_Married]]=1,Table1[[#This Row],[marital_Together]]=1),1,0)</f>
        <v>1</v>
      </c>
      <c r="AN323" t="str">
        <f>IF(Table1[[#This Row],[Income]]&gt;=70000,"HIGH INCOME","LOW INCOME")</f>
        <v>LOW INCOME</v>
      </c>
      <c r="AO323" s="1" t="str">
        <f>IF(Table1[[#This Row],[MNT_TOTAL]]&gt;=900,"HIGH VALUE","LOW VALUE")</f>
        <v>LOW VALUE</v>
      </c>
      <c r="AP3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23" s="1"/>
      <c r="AR323" s="1"/>
    </row>
    <row r="324" spans="1:44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55</v>
      </c>
      <c r="X324">
        <v>2642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1552</v>
      </c>
      <c r="AJ324">
        <v>1430</v>
      </c>
      <c r="AK324">
        <v>1</v>
      </c>
      <c r="AL324">
        <f t="shared" si="5"/>
        <v>1674</v>
      </c>
      <c r="AM324">
        <f>IF(OR(Table1[[#This Row],[marital_Married]]=1,Table1[[#This Row],[marital_Together]]=1),1,0)</f>
        <v>1</v>
      </c>
      <c r="AN324" t="str">
        <f>IF(Table1[[#This Row],[Income]]&gt;=70000,"HIGH INCOME","LOW INCOME")</f>
        <v>HIGH INCOME</v>
      </c>
      <c r="AO324" s="1" t="str">
        <f>IF(Table1[[#This Row],[MNT_TOTAL]]&gt;=900,"HIGH VALUE","LOW VALUE")</f>
        <v>HIGH VALUE</v>
      </c>
      <c r="AP3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24" s="1"/>
      <c r="AR324" s="1"/>
    </row>
    <row r="325" spans="1:44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32</v>
      </c>
      <c r="X325">
        <v>2847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1500</v>
      </c>
      <c r="AJ325">
        <v>1462</v>
      </c>
      <c r="AK325">
        <v>0</v>
      </c>
      <c r="AL325">
        <f t="shared" si="5"/>
        <v>1538</v>
      </c>
      <c r="AM325">
        <f>IF(OR(Table1[[#This Row],[marital_Married]]=1,Table1[[#This Row],[marital_Together]]=1),1,0)</f>
        <v>0</v>
      </c>
      <c r="AN325" t="str">
        <f>IF(Table1[[#This Row],[Income]]&gt;=70000,"HIGH INCOME","LOW INCOME")</f>
        <v>LOW INCOME</v>
      </c>
      <c r="AO325" s="1" t="str">
        <f>IF(Table1[[#This Row],[MNT_TOTAL]]&gt;=900,"HIGH VALUE","LOW VALUE")</f>
        <v>HIGH VALUE</v>
      </c>
      <c r="AP3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25" s="1"/>
      <c r="AR325" s="1"/>
    </row>
    <row r="326" spans="1:44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34</v>
      </c>
      <c r="X326">
        <v>2363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121</v>
      </c>
      <c r="AJ326">
        <v>103</v>
      </c>
      <c r="AK326">
        <v>0</v>
      </c>
      <c r="AL326">
        <f t="shared" si="5"/>
        <v>139</v>
      </c>
      <c r="AM326">
        <f>IF(OR(Table1[[#This Row],[marital_Married]]=1,Table1[[#This Row],[marital_Together]]=1),1,0)</f>
        <v>0</v>
      </c>
      <c r="AN326" t="str">
        <f>IF(Table1[[#This Row],[Income]]&gt;=70000,"HIGH INCOME","LOW INCOME")</f>
        <v>LOW INCOME</v>
      </c>
      <c r="AO326" s="1" t="str">
        <f>IF(Table1[[#This Row],[MNT_TOTAL]]&gt;=900,"HIGH VALUE","LOW VALUE")</f>
        <v>LOW VALUE</v>
      </c>
      <c r="AP3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26" s="1"/>
      <c r="AR326" s="1"/>
    </row>
    <row r="327" spans="1:44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51</v>
      </c>
      <c r="X327">
        <v>2742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1148</v>
      </c>
      <c r="AJ327">
        <v>1114</v>
      </c>
      <c r="AK327">
        <v>2</v>
      </c>
      <c r="AL327">
        <f t="shared" si="5"/>
        <v>1182</v>
      </c>
      <c r="AM327">
        <f>IF(OR(Table1[[#This Row],[marital_Married]]=1,Table1[[#This Row],[marital_Together]]=1),1,0)</f>
        <v>1</v>
      </c>
      <c r="AN327" t="str">
        <f>IF(Table1[[#This Row],[Income]]&gt;=70000,"HIGH INCOME","LOW INCOME")</f>
        <v>LOW INCOME</v>
      </c>
      <c r="AO327" s="1" t="str">
        <f>IF(Table1[[#This Row],[MNT_TOTAL]]&gt;=900,"HIGH VALUE","LOW VALUE")</f>
        <v>HIGH VALUE</v>
      </c>
      <c r="AP3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27" s="1"/>
      <c r="AR327" s="1"/>
    </row>
    <row r="328" spans="1:44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70</v>
      </c>
      <c r="X328">
        <v>2540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493</v>
      </c>
      <c r="AJ328">
        <v>479</v>
      </c>
      <c r="AK328">
        <v>0</v>
      </c>
      <c r="AL328">
        <f t="shared" si="5"/>
        <v>507</v>
      </c>
      <c r="AM328">
        <f>IF(OR(Table1[[#This Row],[marital_Married]]=1,Table1[[#This Row],[marital_Together]]=1),1,0)</f>
        <v>1</v>
      </c>
      <c r="AN328" t="str">
        <f>IF(Table1[[#This Row],[Income]]&gt;=70000,"HIGH INCOME","LOW INCOME")</f>
        <v>LOW INCOME</v>
      </c>
      <c r="AO328" s="1" t="str">
        <f>IF(Table1[[#This Row],[MNT_TOTAL]]&gt;=900,"HIGH VALUE","LOW VALUE")</f>
        <v>LOW VALUE</v>
      </c>
      <c r="AP3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28" s="1"/>
      <c r="AR328" s="1"/>
    </row>
    <row r="329" spans="1:44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47</v>
      </c>
      <c r="X329">
        <v>2477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15</v>
      </c>
      <c r="AJ329">
        <v>12</v>
      </c>
      <c r="AK329">
        <v>1</v>
      </c>
      <c r="AL329">
        <f t="shared" si="5"/>
        <v>18</v>
      </c>
      <c r="AM329">
        <f>IF(OR(Table1[[#This Row],[marital_Married]]=1,Table1[[#This Row],[marital_Together]]=1),1,0)</f>
        <v>1</v>
      </c>
      <c r="AN329" t="str">
        <f>IF(Table1[[#This Row],[Income]]&gt;=70000,"HIGH INCOME","LOW INCOME")</f>
        <v>LOW INCOME</v>
      </c>
      <c r="AO329" s="1" t="str">
        <f>IF(Table1[[#This Row],[MNT_TOTAL]]&gt;=900,"HIGH VALUE","LOW VALUE")</f>
        <v>LOW VALUE</v>
      </c>
      <c r="AP3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29" s="1"/>
      <c r="AR329" s="1"/>
    </row>
    <row r="330" spans="1:44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68</v>
      </c>
      <c r="X330">
        <v>2390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767</v>
      </c>
      <c r="AJ330">
        <v>594</v>
      </c>
      <c r="AK330">
        <v>0</v>
      </c>
      <c r="AL330">
        <f t="shared" si="5"/>
        <v>940</v>
      </c>
      <c r="AM330">
        <f>IF(OR(Table1[[#This Row],[marital_Married]]=1,Table1[[#This Row],[marital_Together]]=1),1,0)</f>
        <v>0</v>
      </c>
      <c r="AN330" t="str">
        <f>IF(Table1[[#This Row],[Income]]&gt;=70000,"HIGH INCOME","LOW INCOME")</f>
        <v>HIGH INCOME</v>
      </c>
      <c r="AO330" s="1" t="str">
        <f>IF(Table1[[#This Row],[MNT_TOTAL]]&gt;=900,"HIGH VALUE","LOW VALUE")</f>
        <v>HIGH VALUE</v>
      </c>
      <c r="AP3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30" s="1"/>
      <c r="AR330" s="1"/>
    </row>
    <row r="331" spans="1:44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55</v>
      </c>
      <c r="X331">
        <v>2530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39</v>
      </c>
      <c r="AJ331">
        <v>36</v>
      </c>
      <c r="AK331">
        <v>0</v>
      </c>
      <c r="AL331">
        <f t="shared" si="5"/>
        <v>42</v>
      </c>
      <c r="AM331">
        <f>IF(OR(Table1[[#This Row],[marital_Married]]=1,Table1[[#This Row],[marital_Together]]=1),1,0)</f>
        <v>1</v>
      </c>
      <c r="AN331" t="str">
        <f>IF(Table1[[#This Row],[Income]]&gt;=70000,"HIGH INCOME","LOW INCOME")</f>
        <v>LOW INCOME</v>
      </c>
      <c r="AO331" s="1" t="str">
        <f>IF(Table1[[#This Row],[MNT_TOTAL]]&gt;=900,"HIGH VALUE","LOW VALUE")</f>
        <v>LOW VALUE</v>
      </c>
      <c r="AP3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31" s="1"/>
      <c r="AR331" s="1"/>
    </row>
    <row r="332" spans="1:44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50</v>
      </c>
      <c r="X332">
        <v>2172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972</v>
      </c>
      <c r="AJ332">
        <v>754</v>
      </c>
      <c r="AK332">
        <v>0</v>
      </c>
      <c r="AL332">
        <f t="shared" si="5"/>
        <v>1190</v>
      </c>
      <c r="AM332">
        <f>IF(OR(Table1[[#This Row],[marital_Married]]=1,Table1[[#This Row],[marital_Together]]=1),1,0)</f>
        <v>0</v>
      </c>
      <c r="AN332" t="str">
        <f>IF(Table1[[#This Row],[Income]]&gt;=70000,"HIGH INCOME","LOW INCOME")</f>
        <v>HIGH INCOME</v>
      </c>
      <c r="AO332" s="1" t="str">
        <f>IF(Table1[[#This Row],[MNT_TOTAL]]&gt;=900,"HIGH VALUE","LOW VALUE")</f>
        <v>HIGH VALUE</v>
      </c>
      <c r="AP3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32" s="1"/>
      <c r="AR332" s="1"/>
    </row>
    <row r="333" spans="1:44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49</v>
      </c>
      <c r="X333">
        <v>2710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37</v>
      </c>
      <c r="AJ333">
        <v>30</v>
      </c>
      <c r="AK333">
        <v>0</v>
      </c>
      <c r="AL333">
        <f t="shared" si="5"/>
        <v>44</v>
      </c>
      <c r="AM333">
        <f>IF(OR(Table1[[#This Row],[marital_Married]]=1,Table1[[#This Row],[marital_Together]]=1),1,0)</f>
        <v>0</v>
      </c>
      <c r="AN333" t="str">
        <f>IF(Table1[[#This Row],[Income]]&gt;=70000,"HIGH INCOME","LOW INCOME")</f>
        <v>LOW INCOME</v>
      </c>
      <c r="AO333" s="1" t="str">
        <f>IF(Table1[[#This Row],[MNT_TOTAL]]&gt;=900,"HIGH VALUE","LOW VALUE")</f>
        <v>LOW VALUE</v>
      </c>
      <c r="AP3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33" s="1"/>
      <c r="AR333" s="1"/>
    </row>
    <row r="334" spans="1:44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44</v>
      </c>
      <c r="X334">
        <v>2336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12</v>
      </c>
      <c r="AJ334">
        <v>8</v>
      </c>
      <c r="AK334">
        <v>1</v>
      </c>
      <c r="AL334">
        <f t="shared" si="5"/>
        <v>16</v>
      </c>
      <c r="AM334">
        <f>IF(OR(Table1[[#This Row],[marital_Married]]=1,Table1[[#This Row],[marital_Together]]=1),1,0)</f>
        <v>1</v>
      </c>
      <c r="AN334" t="str">
        <f>IF(Table1[[#This Row],[Income]]&gt;=70000,"HIGH INCOME","LOW INCOME")</f>
        <v>LOW INCOME</v>
      </c>
      <c r="AO334" s="1" t="str">
        <f>IF(Table1[[#This Row],[MNT_TOTAL]]&gt;=900,"HIGH VALUE","LOW VALUE")</f>
        <v>LOW VALUE</v>
      </c>
      <c r="AP3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34" s="1"/>
      <c r="AR334" s="1"/>
    </row>
    <row r="335" spans="1:44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63</v>
      </c>
      <c r="X335">
        <v>2353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827</v>
      </c>
      <c r="AJ335">
        <v>819</v>
      </c>
      <c r="AK335">
        <v>0</v>
      </c>
      <c r="AL335">
        <f t="shared" si="5"/>
        <v>835</v>
      </c>
      <c r="AM335">
        <f>IF(OR(Table1[[#This Row],[marital_Married]]=1,Table1[[#This Row],[marital_Together]]=1),1,0)</f>
        <v>1</v>
      </c>
      <c r="AN335" t="str">
        <f>IF(Table1[[#This Row],[Income]]&gt;=70000,"HIGH INCOME","LOW INCOME")</f>
        <v>HIGH INCOME</v>
      </c>
      <c r="AO335" s="1" t="str">
        <f>IF(Table1[[#This Row],[MNT_TOTAL]]&gt;=900,"HIGH VALUE","LOW VALUE")</f>
        <v>LOW VALUE</v>
      </c>
      <c r="AP3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35" s="1"/>
      <c r="AR335" s="1"/>
    </row>
    <row r="336" spans="1:44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34</v>
      </c>
      <c r="X336">
        <v>2694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1350</v>
      </c>
      <c r="AJ336">
        <v>1257</v>
      </c>
      <c r="AK336">
        <v>2</v>
      </c>
      <c r="AL336">
        <f t="shared" si="5"/>
        <v>1443</v>
      </c>
      <c r="AM336">
        <f>IF(OR(Table1[[#This Row],[marital_Married]]=1,Table1[[#This Row],[marital_Together]]=1),1,0)</f>
        <v>1</v>
      </c>
      <c r="AN336" t="str">
        <f>IF(Table1[[#This Row],[Income]]&gt;=70000,"HIGH INCOME","LOW INCOME")</f>
        <v>HIGH INCOME</v>
      </c>
      <c r="AO336" s="1" t="str">
        <f>IF(Table1[[#This Row],[MNT_TOTAL]]&gt;=900,"HIGH VALUE","LOW VALUE")</f>
        <v>HIGH VALUE</v>
      </c>
      <c r="AP3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36" s="1"/>
      <c r="AR336" s="1"/>
    </row>
    <row r="337" spans="1:44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54</v>
      </c>
      <c r="X337">
        <v>2403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1029</v>
      </c>
      <c r="AJ337">
        <v>1029</v>
      </c>
      <c r="AK337">
        <v>0</v>
      </c>
      <c r="AL337">
        <f t="shared" si="5"/>
        <v>1029</v>
      </c>
      <c r="AM337">
        <f>IF(OR(Table1[[#This Row],[marital_Married]]=1,Table1[[#This Row],[marital_Together]]=1),1,0)</f>
        <v>0</v>
      </c>
      <c r="AN337" t="str">
        <f>IF(Table1[[#This Row],[Income]]&gt;=70000,"HIGH INCOME","LOW INCOME")</f>
        <v>LOW INCOME</v>
      </c>
      <c r="AO337" s="1" t="str">
        <f>IF(Table1[[#This Row],[MNT_TOTAL]]&gt;=900,"HIGH VALUE","LOW VALUE")</f>
        <v>HIGH VALUE</v>
      </c>
      <c r="AP3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37" s="1"/>
      <c r="AR337" s="1"/>
    </row>
    <row r="338" spans="1:44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46</v>
      </c>
      <c r="X338">
        <v>2769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1166</v>
      </c>
      <c r="AJ338">
        <v>1144</v>
      </c>
      <c r="AK338">
        <v>0</v>
      </c>
      <c r="AL338">
        <f t="shared" si="5"/>
        <v>1188</v>
      </c>
      <c r="AM338">
        <f>IF(OR(Table1[[#This Row],[marital_Married]]=1,Table1[[#This Row],[marital_Together]]=1),1,0)</f>
        <v>1</v>
      </c>
      <c r="AN338" t="str">
        <f>IF(Table1[[#This Row],[Income]]&gt;=70000,"HIGH INCOME","LOW INCOME")</f>
        <v>HIGH INCOME</v>
      </c>
      <c r="AO338" s="1" t="str">
        <f>IF(Table1[[#This Row],[MNT_TOTAL]]&gt;=900,"HIGH VALUE","LOW VALUE")</f>
        <v>HIGH VALUE</v>
      </c>
      <c r="AP3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38" s="1"/>
      <c r="AR338" s="1"/>
    </row>
    <row r="339" spans="1:44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44</v>
      </c>
      <c r="X339">
        <v>2713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1265</v>
      </c>
      <c r="AJ339">
        <v>1253</v>
      </c>
      <c r="AK339">
        <v>0</v>
      </c>
      <c r="AL339">
        <f t="shared" si="5"/>
        <v>1277</v>
      </c>
      <c r="AM339">
        <f>IF(OR(Table1[[#This Row],[marital_Married]]=1,Table1[[#This Row],[marital_Together]]=1),1,0)</f>
        <v>0</v>
      </c>
      <c r="AN339" t="str">
        <f>IF(Table1[[#This Row],[Income]]&gt;=70000,"HIGH INCOME","LOW INCOME")</f>
        <v>LOW INCOME</v>
      </c>
      <c r="AO339" s="1" t="str">
        <f>IF(Table1[[#This Row],[MNT_TOTAL]]&gt;=900,"HIGH VALUE","LOW VALUE")</f>
        <v>HIGH VALUE</v>
      </c>
      <c r="AP3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39" s="1"/>
      <c r="AR339" s="1"/>
    </row>
    <row r="340" spans="1:44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42</v>
      </c>
      <c r="X340">
        <v>2371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39</v>
      </c>
      <c r="AJ340">
        <v>29</v>
      </c>
      <c r="AK340">
        <v>0</v>
      </c>
      <c r="AL340">
        <f t="shared" si="5"/>
        <v>49</v>
      </c>
      <c r="AM340">
        <f>IF(OR(Table1[[#This Row],[marital_Married]]=1,Table1[[#This Row],[marital_Together]]=1),1,0)</f>
        <v>0</v>
      </c>
      <c r="AN340" t="str">
        <f>IF(Table1[[#This Row],[Income]]&gt;=70000,"HIGH INCOME","LOW INCOME")</f>
        <v>LOW INCOME</v>
      </c>
      <c r="AO340" s="1" t="str">
        <f>IF(Table1[[#This Row],[MNT_TOTAL]]&gt;=900,"HIGH VALUE","LOW VALUE")</f>
        <v>LOW VALUE</v>
      </c>
      <c r="AP3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40" s="1"/>
      <c r="AR340" s="1"/>
    </row>
    <row r="341" spans="1:44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65</v>
      </c>
      <c r="X341">
        <v>2573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89</v>
      </c>
      <c r="AJ341">
        <v>79</v>
      </c>
      <c r="AK341">
        <v>1</v>
      </c>
      <c r="AL341">
        <f t="shared" si="5"/>
        <v>99</v>
      </c>
      <c r="AM341">
        <f>IF(OR(Table1[[#This Row],[marital_Married]]=1,Table1[[#This Row],[marital_Together]]=1),1,0)</f>
        <v>1</v>
      </c>
      <c r="AN341" t="str">
        <f>IF(Table1[[#This Row],[Income]]&gt;=70000,"HIGH INCOME","LOW INCOME")</f>
        <v>LOW INCOME</v>
      </c>
      <c r="AO341" s="1" t="str">
        <f>IF(Table1[[#This Row],[MNT_TOTAL]]&gt;=900,"HIGH VALUE","LOW VALUE")</f>
        <v>LOW VALUE</v>
      </c>
      <c r="AP3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41" s="1"/>
      <c r="AR341" s="1"/>
    </row>
    <row r="342" spans="1:44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51</v>
      </c>
      <c r="X342">
        <v>2723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1622</v>
      </c>
      <c r="AJ342">
        <v>1574</v>
      </c>
      <c r="AK342">
        <v>0</v>
      </c>
      <c r="AL342">
        <f t="shared" si="5"/>
        <v>1670</v>
      </c>
      <c r="AM342">
        <f>IF(OR(Table1[[#This Row],[marital_Married]]=1,Table1[[#This Row],[marital_Together]]=1),1,0)</f>
        <v>1</v>
      </c>
      <c r="AN342" t="str">
        <f>IF(Table1[[#This Row],[Income]]&gt;=70000,"HIGH INCOME","LOW INCOME")</f>
        <v>LOW INCOME</v>
      </c>
      <c r="AO342" s="1" t="str">
        <f>IF(Table1[[#This Row],[MNT_TOTAL]]&gt;=900,"HIGH VALUE","LOW VALUE")</f>
        <v>HIGH VALUE</v>
      </c>
      <c r="AP3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42" s="1"/>
      <c r="AR342" s="1"/>
    </row>
    <row r="343" spans="1:44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77</v>
      </c>
      <c r="X343">
        <v>2472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892</v>
      </c>
      <c r="AJ343">
        <v>884</v>
      </c>
      <c r="AK343">
        <v>0</v>
      </c>
      <c r="AL343">
        <f t="shared" si="5"/>
        <v>900</v>
      </c>
      <c r="AM343">
        <f>IF(OR(Table1[[#This Row],[marital_Married]]=1,Table1[[#This Row],[marital_Together]]=1),1,0)</f>
        <v>1</v>
      </c>
      <c r="AN343" t="str">
        <f>IF(Table1[[#This Row],[Income]]&gt;=70000,"HIGH INCOME","LOW INCOME")</f>
        <v>LOW INCOME</v>
      </c>
      <c r="AO343" s="1" t="str">
        <f>IF(Table1[[#This Row],[MNT_TOTAL]]&gt;=900,"HIGH VALUE","LOW VALUE")</f>
        <v>HIGH VALUE</v>
      </c>
      <c r="AP3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43" s="1"/>
      <c r="AR343" s="1"/>
    </row>
    <row r="344" spans="1:44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72</v>
      </c>
      <c r="X344">
        <v>2423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387</v>
      </c>
      <c r="AJ344">
        <v>349</v>
      </c>
      <c r="AK344">
        <v>0</v>
      </c>
      <c r="AL344">
        <f t="shared" si="5"/>
        <v>425</v>
      </c>
      <c r="AM344">
        <f>IF(OR(Table1[[#This Row],[marital_Married]]=1,Table1[[#This Row],[marital_Together]]=1),1,0)</f>
        <v>1</v>
      </c>
      <c r="AN344" t="str">
        <f>IF(Table1[[#This Row],[Income]]&gt;=70000,"HIGH INCOME","LOW INCOME")</f>
        <v>LOW INCOME</v>
      </c>
      <c r="AO344" s="1" t="str">
        <f>IF(Table1[[#This Row],[MNT_TOTAL]]&gt;=900,"HIGH VALUE","LOW VALUE")</f>
        <v>LOW VALUE</v>
      </c>
      <c r="AP3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44" s="1"/>
      <c r="AR344" s="1"/>
    </row>
    <row r="345" spans="1:44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63</v>
      </c>
      <c r="X345">
        <v>2798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2092</v>
      </c>
      <c r="AJ345">
        <v>2031</v>
      </c>
      <c r="AK345">
        <v>1</v>
      </c>
      <c r="AL345">
        <f t="shared" si="5"/>
        <v>2153</v>
      </c>
      <c r="AM345">
        <f>IF(OR(Table1[[#This Row],[marital_Married]]=1,Table1[[#This Row],[marital_Together]]=1),1,0)</f>
        <v>1</v>
      </c>
      <c r="AN345" t="str">
        <f>IF(Table1[[#This Row],[Income]]&gt;=70000,"HIGH INCOME","LOW INCOME")</f>
        <v>HIGH INCOME</v>
      </c>
      <c r="AO345" s="1" t="str">
        <f>IF(Table1[[#This Row],[MNT_TOTAL]]&gt;=900,"HIGH VALUE","LOW VALUE")</f>
        <v>HIGH VALUE</v>
      </c>
      <c r="AP3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45" s="1"/>
      <c r="AR345" s="1"/>
    </row>
    <row r="346" spans="1:44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51</v>
      </c>
      <c r="X346">
        <v>2258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595</v>
      </c>
      <c r="AJ346">
        <v>554</v>
      </c>
      <c r="AK346">
        <v>0</v>
      </c>
      <c r="AL346">
        <f t="shared" si="5"/>
        <v>636</v>
      </c>
      <c r="AM346">
        <f>IF(OR(Table1[[#This Row],[marital_Married]]=1,Table1[[#This Row],[marital_Together]]=1),1,0)</f>
        <v>0</v>
      </c>
      <c r="AN346" t="str">
        <f>IF(Table1[[#This Row],[Income]]&gt;=70000,"HIGH INCOME","LOW INCOME")</f>
        <v>LOW INCOME</v>
      </c>
      <c r="AO346" s="1" t="str">
        <f>IF(Table1[[#This Row],[MNT_TOTAL]]&gt;=900,"HIGH VALUE","LOW VALUE")</f>
        <v>LOW VALUE</v>
      </c>
      <c r="AP3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46" s="1"/>
      <c r="AR346" s="1"/>
    </row>
    <row r="347" spans="1:44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42</v>
      </c>
      <c r="X347">
        <v>2284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51</v>
      </c>
      <c r="AJ347">
        <v>45</v>
      </c>
      <c r="AK347">
        <v>0</v>
      </c>
      <c r="AL347">
        <f t="shared" si="5"/>
        <v>57</v>
      </c>
      <c r="AM347">
        <f>IF(OR(Table1[[#This Row],[marital_Married]]=1,Table1[[#This Row],[marital_Together]]=1),1,0)</f>
        <v>1</v>
      </c>
      <c r="AN347" t="str">
        <f>IF(Table1[[#This Row],[Income]]&gt;=70000,"HIGH INCOME","LOW INCOME")</f>
        <v>LOW INCOME</v>
      </c>
      <c r="AO347" s="1" t="str">
        <f>IF(Table1[[#This Row],[MNT_TOTAL]]&gt;=900,"HIGH VALUE","LOW VALUE")</f>
        <v>LOW VALUE</v>
      </c>
      <c r="AP3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47" s="1"/>
      <c r="AR347" s="1"/>
    </row>
    <row r="348" spans="1:44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42</v>
      </c>
      <c r="X348">
        <v>2742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20</v>
      </c>
      <c r="AJ348">
        <v>15</v>
      </c>
      <c r="AK348">
        <v>0</v>
      </c>
      <c r="AL348">
        <f t="shared" si="5"/>
        <v>25</v>
      </c>
      <c r="AM348">
        <f>IF(OR(Table1[[#This Row],[marital_Married]]=1,Table1[[#This Row],[marital_Together]]=1),1,0)</f>
        <v>1</v>
      </c>
      <c r="AN348" t="str">
        <f>IF(Table1[[#This Row],[Income]]&gt;=70000,"HIGH INCOME","LOW INCOME")</f>
        <v>LOW INCOME</v>
      </c>
      <c r="AO348" s="1" t="str">
        <f>IF(Table1[[#This Row],[MNT_TOTAL]]&gt;=900,"HIGH VALUE","LOW VALUE")</f>
        <v>LOW VALUE</v>
      </c>
      <c r="AP3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48" s="1"/>
      <c r="AR348" s="1"/>
    </row>
    <row r="349" spans="1:44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53</v>
      </c>
      <c r="X349">
        <v>2707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429</v>
      </c>
      <c r="AJ349">
        <v>364</v>
      </c>
      <c r="AK349">
        <v>0</v>
      </c>
      <c r="AL349">
        <f t="shared" si="5"/>
        <v>494</v>
      </c>
      <c r="AM349">
        <f>IF(OR(Table1[[#This Row],[marital_Married]]=1,Table1[[#This Row],[marital_Together]]=1),1,0)</f>
        <v>1</v>
      </c>
      <c r="AN349" t="str">
        <f>IF(Table1[[#This Row],[Income]]&gt;=70000,"HIGH INCOME","LOW INCOME")</f>
        <v>LOW INCOME</v>
      </c>
      <c r="AO349" s="1" t="str">
        <f>IF(Table1[[#This Row],[MNT_TOTAL]]&gt;=900,"HIGH VALUE","LOW VALUE")</f>
        <v>LOW VALUE</v>
      </c>
      <c r="AP3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49" s="1"/>
      <c r="AR349" s="1"/>
    </row>
    <row r="350" spans="1:44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51</v>
      </c>
      <c r="X350">
        <v>2836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551</v>
      </c>
      <c r="AJ350">
        <v>409</v>
      </c>
      <c r="AK350">
        <v>0</v>
      </c>
      <c r="AL350">
        <f t="shared" si="5"/>
        <v>693</v>
      </c>
      <c r="AM350">
        <f>IF(OR(Table1[[#This Row],[marital_Married]]=1,Table1[[#This Row],[marital_Together]]=1),1,0)</f>
        <v>0</v>
      </c>
      <c r="AN350" t="str">
        <f>IF(Table1[[#This Row],[Income]]&gt;=70000,"HIGH INCOME","LOW INCOME")</f>
        <v>LOW INCOME</v>
      </c>
      <c r="AO350" s="1" t="str">
        <f>IF(Table1[[#This Row],[MNT_TOTAL]]&gt;=900,"HIGH VALUE","LOW VALUE")</f>
        <v>LOW VALUE</v>
      </c>
      <c r="AP3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0" s="1"/>
      <c r="AR350" s="1"/>
    </row>
    <row r="351" spans="1:44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60</v>
      </c>
      <c r="X351">
        <v>2567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1319</v>
      </c>
      <c r="AJ351">
        <v>1290</v>
      </c>
      <c r="AK351">
        <v>0</v>
      </c>
      <c r="AL351">
        <f t="shared" si="5"/>
        <v>1348</v>
      </c>
      <c r="AM351">
        <f>IF(OR(Table1[[#This Row],[marital_Married]]=1,Table1[[#This Row],[marital_Together]]=1),1,0)</f>
        <v>1</v>
      </c>
      <c r="AN351" t="str">
        <f>IF(Table1[[#This Row],[Income]]&gt;=70000,"HIGH INCOME","LOW INCOME")</f>
        <v>HIGH INCOME</v>
      </c>
      <c r="AO351" s="1" t="str">
        <f>IF(Table1[[#This Row],[MNT_TOTAL]]&gt;=900,"HIGH VALUE","LOW VALUE")</f>
        <v>HIGH VALUE</v>
      </c>
      <c r="AP3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51" s="1"/>
      <c r="AR351" s="1"/>
    </row>
    <row r="352" spans="1:44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44</v>
      </c>
      <c r="X352">
        <v>2629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42</v>
      </c>
      <c r="AJ352">
        <v>33</v>
      </c>
      <c r="AK352">
        <v>0</v>
      </c>
      <c r="AL352">
        <f t="shared" si="5"/>
        <v>51</v>
      </c>
      <c r="AM352">
        <f>IF(OR(Table1[[#This Row],[marital_Married]]=1,Table1[[#This Row],[marital_Together]]=1),1,0)</f>
        <v>0</v>
      </c>
      <c r="AN352" t="str">
        <f>IF(Table1[[#This Row],[Income]]&gt;=70000,"HIGH INCOME","LOW INCOME")</f>
        <v>LOW INCOME</v>
      </c>
      <c r="AO352" s="1" t="str">
        <f>IF(Table1[[#This Row],[MNT_TOTAL]]&gt;=900,"HIGH VALUE","LOW VALUE")</f>
        <v>LOW VALUE</v>
      </c>
      <c r="AP3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2" s="1"/>
      <c r="AR352" s="1"/>
    </row>
    <row r="353" spans="1:44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58</v>
      </c>
      <c r="X353">
        <v>2748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1699</v>
      </c>
      <c r="AJ353">
        <v>1466</v>
      </c>
      <c r="AK353">
        <v>0</v>
      </c>
      <c r="AL353">
        <f t="shared" si="5"/>
        <v>1932</v>
      </c>
      <c r="AM353">
        <f>IF(OR(Table1[[#This Row],[marital_Married]]=1,Table1[[#This Row],[marital_Together]]=1),1,0)</f>
        <v>1</v>
      </c>
      <c r="AN353" t="str">
        <f>IF(Table1[[#This Row],[Income]]&gt;=70000,"HIGH INCOME","LOW INCOME")</f>
        <v>HIGH INCOME</v>
      </c>
      <c r="AO353" s="1" t="str">
        <f>IF(Table1[[#This Row],[MNT_TOTAL]]&gt;=900,"HIGH VALUE","LOW VALUE")</f>
        <v>HIGH VALUE</v>
      </c>
      <c r="AP3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53" s="1"/>
      <c r="AR353" s="1"/>
    </row>
    <row r="354" spans="1:44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45</v>
      </c>
      <c r="X354">
        <v>2734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952</v>
      </c>
      <c r="AJ354">
        <v>914</v>
      </c>
      <c r="AK354">
        <v>0</v>
      </c>
      <c r="AL354">
        <f t="shared" si="5"/>
        <v>990</v>
      </c>
      <c r="AM354">
        <f>IF(OR(Table1[[#This Row],[marital_Married]]=1,Table1[[#This Row],[marital_Together]]=1),1,0)</f>
        <v>0</v>
      </c>
      <c r="AN354" t="str">
        <f>IF(Table1[[#This Row],[Income]]&gt;=70000,"HIGH INCOME","LOW INCOME")</f>
        <v>LOW INCOME</v>
      </c>
      <c r="AO354" s="1" t="str">
        <f>IF(Table1[[#This Row],[MNT_TOTAL]]&gt;=900,"HIGH VALUE","LOW VALUE")</f>
        <v>HIGH VALUE</v>
      </c>
      <c r="AP3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4" s="1"/>
      <c r="AR354" s="1"/>
    </row>
    <row r="355" spans="1:44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36</v>
      </c>
      <c r="X355">
        <v>2227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27</v>
      </c>
      <c r="AJ355">
        <v>24</v>
      </c>
      <c r="AK355">
        <v>0</v>
      </c>
      <c r="AL355">
        <f t="shared" si="5"/>
        <v>30</v>
      </c>
      <c r="AM355">
        <f>IF(OR(Table1[[#This Row],[marital_Married]]=1,Table1[[#This Row],[marital_Together]]=1),1,0)</f>
        <v>1</v>
      </c>
      <c r="AN355" t="str">
        <f>IF(Table1[[#This Row],[Income]]&gt;=70000,"HIGH INCOME","LOW INCOME")</f>
        <v>LOW INCOME</v>
      </c>
      <c r="AO355" s="1" t="str">
        <f>IF(Table1[[#This Row],[MNT_TOTAL]]&gt;=900,"HIGH VALUE","LOW VALUE")</f>
        <v>LOW VALUE</v>
      </c>
      <c r="AP3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55" s="1"/>
      <c r="AR355" s="1"/>
    </row>
    <row r="356" spans="1:44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45</v>
      </c>
      <c r="X356">
        <v>2768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216</v>
      </c>
      <c r="AJ356">
        <v>178</v>
      </c>
      <c r="AK356">
        <v>0</v>
      </c>
      <c r="AL356">
        <f t="shared" si="5"/>
        <v>254</v>
      </c>
      <c r="AM356">
        <f>IF(OR(Table1[[#This Row],[marital_Married]]=1,Table1[[#This Row],[marital_Together]]=1),1,0)</f>
        <v>1</v>
      </c>
      <c r="AN356" t="str">
        <f>IF(Table1[[#This Row],[Income]]&gt;=70000,"HIGH INCOME","LOW INCOME")</f>
        <v>LOW INCOME</v>
      </c>
      <c r="AO356" s="1" t="str">
        <f>IF(Table1[[#This Row],[MNT_TOTAL]]&gt;=900,"HIGH VALUE","LOW VALUE")</f>
        <v>LOW VALUE</v>
      </c>
      <c r="AP3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56" s="1"/>
      <c r="AR356" s="1"/>
    </row>
    <row r="357" spans="1:44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50</v>
      </c>
      <c r="X357">
        <v>2463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18</v>
      </c>
      <c r="AJ357">
        <v>7</v>
      </c>
      <c r="AK357">
        <v>1</v>
      </c>
      <c r="AL357">
        <f t="shared" si="5"/>
        <v>29</v>
      </c>
      <c r="AM357">
        <f>IF(OR(Table1[[#This Row],[marital_Married]]=1,Table1[[#This Row],[marital_Together]]=1),1,0)</f>
        <v>0</v>
      </c>
      <c r="AN357" t="str">
        <f>IF(Table1[[#This Row],[Income]]&gt;=70000,"HIGH INCOME","LOW INCOME")</f>
        <v>LOW INCOME</v>
      </c>
      <c r="AO357" s="1" t="str">
        <f>IF(Table1[[#This Row],[MNT_TOTAL]]&gt;=900,"HIGH VALUE","LOW VALUE")</f>
        <v>LOW VALUE</v>
      </c>
      <c r="AP3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7" s="1"/>
      <c r="AR357" s="1"/>
    </row>
    <row r="358" spans="1:44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54</v>
      </c>
      <c r="X358">
        <v>2754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1270</v>
      </c>
      <c r="AJ358">
        <v>1169</v>
      </c>
      <c r="AK358">
        <v>1</v>
      </c>
      <c r="AL358">
        <f t="shared" si="5"/>
        <v>1371</v>
      </c>
      <c r="AM358">
        <f>IF(OR(Table1[[#This Row],[marital_Married]]=1,Table1[[#This Row],[marital_Together]]=1),1,0)</f>
        <v>0</v>
      </c>
      <c r="AN358" t="str">
        <f>IF(Table1[[#This Row],[Income]]&gt;=70000,"HIGH INCOME","LOW INCOME")</f>
        <v>LOW INCOME</v>
      </c>
      <c r="AO358" s="1" t="str">
        <f>IF(Table1[[#This Row],[MNT_TOTAL]]&gt;=900,"HIGH VALUE","LOW VALUE")</f>
        <v>HIGH VALUE</v>
      </c>
      <c r="AP3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8" s="1"/>
      <c r="AR358" s="1"/>
    </row>
    <row r="359" spans="1:44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48</v>
      </c>
      <c r="X359">
        <v>2531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70</v>
      </c>
      <c r="AJ359">
        <v>67</v>
      </c>
      <c r="AK359">
        <v>0</v>
      </c>
      <c r="AL359">
        <f t="shared" si="5"/>
        <v>73</v>
      </c>
      <c r="AM359">
        <f>IF(OR(Table1[[#This Row],[marital_Married]]=1,Table1[[#This Row],[marital_Together]]=1),1,0)</f>
        <v>0</v>
      </c>
      <c r="AN359" t="str">
        <f>IF(Table1[[#This Row],[Income]]&gt;=70000,"HIGH INCOME","LOW INCOME")</f>
        <v>LOW INCOME</v>
      </c>
      <c r="AO359" s="1" t="str">
        <f>IF(Table1[[#This Row],[MNT_TOTAL]]&gt;=900,"HIGH VALUE","LOW VALUE")</f>
        <v>LOW VALUE</v>
      </c>
      <c r="AP3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59" s="1"/>
      <c r="AR359" s="1"/>
    </row>
    <row r="360" spans="1:44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45</v>
      </c>
      <c r="X360">
        <v>2839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84</v>
      </c>
      <c r="AJ360">
        <v>48</v>
      </c>
      <c r="AK360">
        <v>0</v>
      </c>
      <c r="AL360">
        <f t="shared" si="5"/>
        <v>120</v>
      </c>
      <c r="AM360">
        <f>IF(OR(Table1[[#This Row],[marital_Married]]=1,Table1[[#This Row],[marital_Together]]=1),1,0)</f>
        <v>0</v>
      </c>
      <c r="AN360" t="str">
        <f>IF(Table1[[#This Row],[Income]]&gt;=70000,"HIGH INCOME","LOW INCOME")</f>
        <v>LOW INCOME</v>
      </c>
      <c r="AO360" s="1" t="str">
        <f>IF(Table1[[#This Row],[MNT_TOTAL]]&gt;=900,"HIGH VALUE","LOW VALUE")</f>
        <v>LOW VALUE</v>
      </c>
      <c r="AP3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0" s="1"/>
      <c r="AR360" s="1"/>
    </row>
    <row r="361" spans="1:44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50</v>
      </c>
      <c r="X361">
        <v>2627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42</v>
      </c>
      <c r="AJ361">
        <v>3</v>
      </c>
      <c r="AK361">
        <v>1</v>
      </c>
      <c r="AL361">
        <f t="shared" si="5"/>
        <v>81</v>
      </c>
      <c r="AM361">
        <f>IF(OR(Table1[[#This Row],[marital_Married]]=1,Table1[[#This Row],[marital_Together]]=1),1,0)</f>
        <v>0</v>
      </c>
      <c r="AN361" t="str">
        <f>IF(Table1[[#This Row],[Income]]&gt;=70000,"HIGH INCOME","LOW INCOME")</f>
        <v>LOW INCOME</v>
      </c>
      <c r="AO361" s="1" t="str">
        <f>IF(Table1[[#This Row],[MNT_TOTAL]]&gt;=900,"HIGH VALUE","LOW VALUE")</f>
        <v>LOW VALUE</v>
      </c>
      <c r="AP3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1" s="1"/>
      <c r="AR361" s="1"/>
    </row>
    <row r="362" spans="1:44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31</v>
      </c>
      <c r="X362">
        <v>2705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36</v>
      </c>
      <c r="AJ362">
        <v>35</v>
      </c>
      <c r="AK362">
        <v>0</v>
      </c>
      <c r="AL362">
        <f t="shared" si="5"/>
        <v>37</v>
      </c>
      <c r="AM362">
        <f>IF(OR(Table1[[#This Row],[marital_Married]]=1,Table1[[#This Row],[marital_Together]]=1),1,0)</f>
        <v>0</v>
      </c>
      <c r="AN362" t="str">
        <f>IF(Table1[[#This Row],[Income]]&gt;=70000,"HIGH INCOME","LOW INCOME")</f>
        <v>LOW INCOME</v>
      </c>
      <c r="AO362" s="1" t="str">
        <f>IF(Table1[[#This Row],[MNT_TOTAL]]&gt;=900,"HIGH VALUE","LOW VALUE")</f>
        <v>LOW VALUE</v>
      </c>
      <c r="AP3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2" s="1"/>
      <c r="AR362" s="1"/>
    </row>
    <row r="363" spans="1:44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59</v>
      </c>
      <c r="X363">
        <v>2429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1220</v>
      </c>
      <c r="AJ363">
        <v>1063</v>
      </c>
      <c r="AK363">
        <v>0</v>
      </c>
      <c r="AL363">
        <f t="shared" si="5"/>
        <v>1377</v>
      </c>
      <c r="AM363">
        <f>IF(OR(Table1[[#This Row],[marital_Married]]=1,Table1[[#This Row],[marital_Together]]=1),1,0)</f>
        <v>1</v>
      </c>
      <c r="AN363" t="str">
        <f>IF(Table1[[#This Row],[Income]]&gt;=70000,"HIGH INCOME","LOW INCOME")</f>
        <v>LOW INCOME</v>
      </c>
      <c r="AO363" s="1" t="str">
        <f>IF(Table1[[#This Row],[MNT_TOTAL]]&gt;=900,"HIGH VALUE","LOW VALUE")</f>
        <v>HIGH VALUE</v>
      </c>
      <c r="AP3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3" s="1"/>
      <c r="AR363" s="1"/>
    </row>
    <row r="364" spans="1:44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51</v>
      </c>
      <c r="X364">
        <v>2539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39</v>
      </c>
      <c r="AJ364">
        <v>27</v>
      </c>
      <c r="AK364">
        <v>0</v>
      </c>
      <c r="AL364">
        <f t="shared" si="5"/>
        <v>51</v>
      </c>
      <c r="AM364">
        <f>IF(OR(Table1[[#This Row],[marital_Married]]=1,Table1[[#This Row],[marital_Together]]=1),1,0)</f>
        <v>0</v>
      </c>
      <c r="AN364" t="str">
        <f>IF(Table1[[#This Row],[Income]]&gt;=70000,"HIGH INCOME","LOW INCOME")</f>
        <v>LOW INCOME</v>
      </c>
      <c r="AO364" s="1" t="str">
        <f>IF(Table1[[#This Row],[MNT_TOTAL]]&gt;=900,"HIGH VALUE","LOW VALUE")</f>
        <v>LOW VALUE</v>
      </c>
      <c r="AP3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4" s="1"/>
      <c r="AR364" s="1"/>
    </row>
    <row r="365" spans="1:44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51</v>
      </c>
      <c r="X365">
        <v>2696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16</v>
      </c>
      <c r="AJ365">
        <v>15</v>
      </c>
      <c r="AK365">
        <v>0</v>
      </c>
      <c r="AL365">
        <f t="shared" si="5"/>
        <v>17</v>
      </c>
      <c r="AM365">
        <f>IF(OR(Table1[[#This Row],[marital_Married]]=1,Table1[[#This Row],[marital_Together]]=1),1,0)</f>
        <v>1</v>
      </c>
      <c r="AN365" t="str">
        <f>IF(Table1[[#This Row],[Income]]&gt;=70000,"HIGH INCOME","LOW INCOME")</f>
        <v>LOW INCOME</v>
      </c>
      <c r="AO365" s="1" t="str">
        <f>IF(Table1[[#This Row],[MNT_TOTAL]]&gt;=900,"HIGH VALUE","LOW VALUE")</f>
        <v>LOW VALUE</v>
      </c>
      <c r="AP3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65" s="1"/>
      <c r="AR365" s="1"/>
    </row>
    <row r="366" spans="1:44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35</v>
      </c>
      <c r="X366">
        <v>2386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16</v>
      </c>
      <c r="AJ366">
        <v>10</v>
      </c>
      <c r="AK366">
        <v>0</v>
      </c>
      <c r="AL366">
        <f t="shared" si="5"/>
        <v>22</v>
      </c>
      <c r="AM366">
        <f>IF(OR(Table1[[#This Row],[marital_Married]]=1,Table1[[#This Row],[marital_Together]]=1),1,0)</f>
        <v>1</v>
      </c>
      <c r="AN366" t="str">
        <f>IF(Table1[[#This Row],[Income]]&gt;=70000,"HIGH INCOME","LOW INCOME")</f>
        <v>LOW INCOME</v>
      </c>
      <c r="AO366" s="1" t="str">
        <f>IF(Table1[[#This Row],[MNT_TOTAL]]&gt;=900,"HIGH VALUE","LOW VALUE")</f>
        <v>LOW VALUE</v>
      </c>
      <c r="AP3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66" s="1"/>
      <c r="AR366" s="1"/>
    </row>
    <row r="367" spans="1:44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66</v>
      </c>
      <c r="X367">
        <v>2723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269</v>
      </c>
      <c r="AJ367">
        <v>214</v>
      </c>
      <c r="AK367">
        <v>0</v>
      </c>
      <c r="AL367">
        <f t="shared" si="5"/>
        <v>324</v>
      </c>
      <c r="AM367">
        <f>IF(OR(Table1[[#This Row],[marital_Married]]=1,Table1[[#This Row],[marital_Together]]=1),1,0)</f>
        <v>0</v>
      </c>
      <c r="AN367" t="str">
        <f>IF(Table1[[#This Row],[Income]]&gt;=70000,"HIGH INCOME","LOW INCOME")</f>
        <v>LOW INCOME</v>
      </c>
      <c r="AO367" s="1" t="str">
        <f>IF(Table1[[#This Row],[MNT_TOTAL]]&gt;=900,"HIGH VALUE","LOW VALUE")</f>
        <v>LOW VALUE</v>
      </c>
      <c r="AP3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7" s="1"/>
      <c r="AR367" s="1"/>
    </row>
    <row r="368" spans="1:44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47</v>
      </c>
      <c r="X368">
        <v>2835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179</v>
      </c>
      <c r="AJ368">
        <v>147</v>
      </c>
      <c r="AK368">
        <v>0</v>
      </c>
      <c r="AL368">
        <f t="shared" si="5"/>
        <v>211</v>
      </c>
      <c r="AM368">
        <f>IF(OR(Table1[[#This Row],[marital_Married]]=1,Table1[[#This Row],[marital_Together]]=1),1,0)</f>
        <v>1</v>
      </c>
      <c r="AN368" t="str">
        <f>IF(Table1[[#This Row],[Income]]&gt;=70000,"HIGH INCOME","LOW INCOME")</f>
        <v>LOW INCOME</v>
      </c>
      <c r="AO368" s="1" t="str">
        <f>IF(Table1[[#This Row],[MNT_TOTAL]]&gt;=900,"HIGH VALUE","LOW VALUE")</f>
        <v>LOW VALUE</v>
      </c>
      <c r="AP3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68" s="1"/>
      <c r="AR368" s="1"/>
    </row>
    <row r="369" spans="1:44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39</v>
      </c>
      <c r="X369">
        <v>2250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13</v>
      </c>
      <c r="AJ369">
        <v>7</v>
      </c>
      <c r="AK369">
        <v>0</v>
      </c>
      <c r="AL369">
        <f t="shared" si="5"/>
        <v>19</v>
      </c>
      <c r="AM369">
        <f>IF(OR(Table1[[#This Row],[marital_Married]]=1,Table1[[#This Row],[marital_Together]]=1),1,0)</f>
        <v>0</v>
      </c>
      <c r="AN369" t="str">
        <f>IF(Table1[[#This Row],[Income]]&gt;=70000,"HIGH INCOME","LOW INCOME")</f>
        <v>LOW INCOME</v>
      </c>
      <c r="AO369" s="1" t="str">
        <f>IF(Table1[[#This Row],[MNT_TOTAL]]&gt;=900,"HIGH VALUE","LOW VALUE")</f>
        <v>LOW VALUE</v>
      </c>
      <c r="AP3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69" s="1"/>
      <c r="AR369" s="1"/>
    </row>
    <row r="370" spans="1:44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49</v>
      </c>
      <c r="X370">
        <v>2569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28</v>
      </c>
      <c r="AJ370">
        <v>15</v>
      </c>
      <c r="AK370">
        <v>0</v>
      </c>
      <c r="AL370">
        <f t="shared" si="5"/>
        <v>41</v>
      </c>
      <c r="AM370">
        <f>IF(OR(Table1[[#This Row],[marital_Married]]=1,Table1[[#This Row],[marital_Together]]=1),1,0)</f>
        <v>0</v>
      </c>
      <c r="AN370" t="str">
        <f>IF(Table1[[#This Row],[Income]]&gt;=70000,"HIGH INCOME","LOW INCOME")</f>
        <v>LOW INCOME</v>
      </c>
      <c r="AO370" s="1" t="str">
        <f>IF(Table1[[#This Row],[MNT_TOTAL]]&gt;=900,"HIGH VALUE","LOW VALUE")</f>
        <v>LOW VALUE</v>
      </c>
      <c r="AP3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70" s="1"/>
      <c r="AR370" s="1"/>
    </row>
    <row r="371" spans="1:44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52</v>
      </c>
      <c r="X371">
        <v>2415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385</v>
      </c>
      <c r="AJ371">
        <v>278</v>
      </c>
      <c r="AK371">
        <v>1</v>
      </c>
      <c r="AL371">
        <f t="shared" si="5"/>
        <v>492</v>
      </c>
      <c r="AM371">
        <f>IF(OR(Table1[[#This Row],[marital_Married]]=1,Table1[[#This Row],[marital_Together]]=1),1,0)</f>
        <v>1</v>
      </c>
      <c r="AN371" t="str">
        <f>IF(Table1[[#This Row],[Income]]&gt;=70000,"HIGH INCOME","LOW INCOME")</f>
        <v>LOW INCOME</v>
      </c>
      <c r="AO371" s="1" t="str">
        <f>IF(Table1[[#This Row],[MNT_TOTAL]]&gt;=900,"HIGH VALUE","LOW VALUE")</f>
        <v>LOW VALUE</v>
      </c>
      <c r="AP3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71" s="1"/>
      <c r="AR371" s="1"/>
    </row>
    <row r="372" spans="1:44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60</v>
      </c>
      <c r="X372">
        <v>2791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846</v>
      </c>
      <c r="AJ372">
        <v>687</v>
      </c>
      <c r="AK372">
        <v>0</v>
      </c>
      <c r="AL372">
        <f t="shared" si="5"/>
        <v>1005</v>
      </c>
      <c r="AM372">
        <f>IF(OR(Table1[[#This Row],[marital_Married]]=1,Table1[[#This Row],[marital_Together]]=1),1,0)</f>
        <v>1</v>
      </c>
      <c r="AN372" t="str">
        <f>IF(Table1[[#This Row],[Income]]&gt;=70000,"HIGH INCOME","LOW INCOME")</f>
        <v>LOW INCOME</v>
      </c>
      <c r="AO372" s="1" t="str">
        <f>IF(Table1[[#This Row],[MNT_TOTAL]]&gt;=900,"HIGH VALUE","LOW VALUE")</f>
        <v>HIGH VALUE</v>
      </c>
      <c r="AP3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72" s="1"/>
      <c r="AR372" s="1"/>
    </row>
    <row r="373" spans="1:44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71</v>
      </c>
      <c r="X373">
        <v>2827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91</v>
      </c>
      <c r="AJ373">
        <v>68</v>
      </c>
      <c r="AK373">
        <v>0</v>
      </c>
      <c r="AL373">
        <f t="shared" si="5"/>
        <v>114</v>
      </c>
      <c r="AM373">
        <f>IF(OR(Table1[[#This Row],[marital_Married]]=1,Table1[[#This Row],[marital_Together]]=1),1,0)</f>
        <v>1</v>
      </c>
      <c r="AN373" t="str">
        <f>IF(Table1[[#This Row],[Income]]&gt;=70000,"HIGH INCOME","LOW INCOME")</f>
        <v>LOW INCOME</v>
      </c>
      <c r="AO373" s="1" t="str">
        <f>IF(Table1[[#This Row],[MNT_TOTAL]]&gt;=900,"HIGH VALUE","LOW VALUE")</f>
        <v>LOW VALUE</v>
      </c>
      <c r="AP3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73" s="1"/>
      <c r="AR373" s="1"/>
    </row>
    <row r="374" spans="1:44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52</v>
      </c>
      <c r="X374">
        <v>2576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1087</v>
      </c>
      <c r="AJ374">
        <v>1001</v>
      </c>
      <c r="AK374">
        <v>0</v>
      </c>
      <c r="AL374">
        <f t="shared" si="5"/>
        <v>1173</v>
      </c>
      <c r="AM374">
        <f>IF(OR(Table1[[#This Row],[marital_Married]]=1,Table1[[#This Row],[marital_Together]]=1),1,0)</f>
        <v>0</v>
      </c>
      <c r="AN374" t="str">
        <f>IF(Table1[[#This Row],[Income]]&gt;=70000,"HIGH INCOME","LOW INCOME")</f>
        <v>HIGH INCOME</v>
      </c>
      <c r="AO374" s="1" t="str">
        <f>IF(Table1[[#This Row],[MNT_TOTAL]]&gt;=900,"HIGH VALUE","LOW VALUE")</f>
        <v>HIGH VALUE</v>
      </c>
      <c r="AP3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74" s="1"/>
      <c r="AR374" s="1"/>
    </row>
    <row r="375" spans="1:44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41</v>
      </c>
      <c r="X375">
        <v>2336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1681</v>
      </c>
      <c r="AJ375">
        <v>1624</v>
      </c>
      <c r="AK375">
        <v>1</v>
      </c>
      <c r="AL375">
        <f t="shared" si="5"/>
        <v>1738</v>
      </c>
      <c r="AM375">
        <f>IF(OR(Table1[[#This Row],[marital_Married]]=1,Table1[[#This Row],[marital_Together]]=1),1,0)</f>
        <v>1</v>
      </c>
      <c r="AN375" t="str">
        <f>IF(Table1[[#This Row],[Income]]&gt;=70000,"HIGH INCOME","LOW INCOME")</f>
        <v>HIGH INCOME</v>
      </c>
      <c r="AO375" s="1" t="str">
        <f>IF(Table1[[#This Row],[MNT_TOTAL]]&gt;=900,"HIGH VALUE","LOW VALUE")</f>
        <v>HIGH VALUE</v>
      </c>
      <c r="AP3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75" s="1"/>
      <c r="AR375" s="1"/>
    </row>
    <row r="376" spans="1:44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41</v>
      </c>
      <c r="X376">
        <v>2361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218</v>
      </c>
      <c r="AJ376">
        <v>214</v>
      </c>
      <c r="AK376">
        <v>0</v>
      </c>
      <c r="AL376">
        <f t="shared" si="5"/>
        <v>222</v>
      </c>
      <c r="AM376">
        <f>IF(OR(Table1[[#This Row],[marital_Married]]=1,Table1[[#This Row],[marital_Together]]=1),1,0)</f>
        <v>1</v>
      </c>
      <c r="AN376" t="str">
        <f>IF(Table1[[#This Row],[Income]]&gt;=70000,"HIGH INCOME","LOW INCOME")</f>
        <v>LOW INCOME</v>
      </c>
      <c r="AO376" s="1" t="str">
        <f>IF(Table1[[#This Row],[MNT_TOTAL]]&gt;=900,"HIGH VALUE","LOW VALUE")</f>
        <v>LOW VALUE</v>
      </c>
      <c r="AP3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76" s="1"/>
      <c r="AR376" s="1"/>
    </row>
    <row r="377" spans="1:44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27</v>
      </c>
      <c r="X377">
        <v>2215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1046</v>
      </c>
      <c r="AJ377">
        <v>965</v>
      </c>
      <c r="AK377">
        <v>0</v>
      </c>
      <c r="AL377">
        <f t="shared" si="5"/>
        <v>1127</v>
      </c>
      <c r="AM377">
        <f>IF(OR(Table1[[#This Row],[marital_Married]]=1,Table1[[#This Row],[marital_Together]]=1),1,0)</f>
        <v>0</v>
      </c>
      <c r="AN377" t="str">
        <f>IF(Table1[[#This Row],[Income]]&gt;=70000,"HIGH INCOME","LOW INCOME")</f>
        <v>HIGH INCOME</v>
      </c>
      <c r="AO377" s="1" t="str">
        <f>IF(Table1[[#This Row],[MNT_TOTAL]]&gt;=900,"HIGH VALUE","LOW VALUE")</f>
        <v>HIGH VALUE</v>
      </c>
      <c r="AP3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377" s="1"/>
      <c r="AR377" s="1"/>
    </row>
    <row r="378" spans="1:44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74</v>
      </c>
      <c r="X378">
        <v>2596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185</v>
      </c>
      <c r="AJ378">
        <v>161</v>
      </c>
      <c r="AK378">
        <v>0</v>
      </c>
      <c r="AL378">
        <f t="shared" si="5"/>
        <v>209</v>
      </c>
      <c r="AM378">
        <f>IF(OR(Table1[[#This Row],[marital_Married]]=1,Table1[[#This Row],[marital_Together]]=1),1,0)</f>
        <v>1</v>
      </c>
      <c r="AN378" t="str">
        <f>IF(Table1[[#This Row],[Income]]&gt;=70000,"HIGH INCOME","LOW INCOME")</f>
        <v>LOW INCOME</v>
      </c>
      <c r="AO378" s="1" t="str">
        <f>IF(Table1[[#This Row],[MNT_TOTAL]]&gt;=900,"HIGH VALUE","LOW VALUE")</f>
        <v>LOW VALUE</v>
      </c>
      <c r="AP3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78" s="1"/>
      <c r="AR378" s="1"/>
    </row>
    <row r="379" spans="1:44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52</v>
      </c>
      <c r="X379">
        <v>2283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709</v>
      </c>
      <c r="AJ379">
        <v>631</v>
      </c>
      <c r="AK379">
        <v>0</v>
      </c>
      <c r="AL379">
        <f t="shared" si="5"/>
        <v>787</v>
      </c>
      <c r="AM379">
        <f>IF(OR(Table1[[#This Row],[marital_Married]]=1,Table1[[#This Row],[marital_Together]]=1),1,0)</f>
        <v>1</v>
      </c>
      <c r="AN379" t="str">
        <f>IF(Table1[[#This Row],[Income]]&gt;=70000,"HIGH INCOME","LOW INCOME")</f>
        <v>HIGH INCOME</v>
      </c>
      <c r="AO379" s="1" t="str">
        <f>IF(Table1[[#This Row],[MNT_TOTAL]]&gt;=900,"HIGH VALUE","LOW VALUE")</f>
        <v>LOW VALUE</v>
      </c>
      <c r="AP3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79" s="1"/>
      <c r="AR379" s="1"/>
    </row>
    <row r="380" spans="1:44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29</v>
      </c>
      <c r="X380">
        <v>2425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1553</v>
      </c>
      <c r="AJ380">
        <v>1508</v>
      </c>
      <c r="AK380">
        <v>0</v>
      </c>
      <c r="AL380">
        <f t="shared" si="5"/>
        <v>1598</v>
      </c>
      <c r="AM380">
        <f>IF(OR(Table1[[#This Row],[marital_Married]]=1,Table1[[#This Row],[marital_Together]]=1),1,0)</f>
        <v>1</v>
      </c>
      <c r="AN380" t="str">
        <f>IF(Table1[[#This Row],[Income]]&gt;=70000,"HIGH INCOME","LOW INCOME")</f>
        <v>LOW INCOME</v>
      </c>
      <c r="AO380" s="1" t="str">
        <f>IF(Table1[[#This Row],[MNT_TOTAL]]&gt;=900,"HIGH VALUE","LOW VALUE")</f>
        <v>HIGH VALUE</v>
      </c>
      <c r="AP3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0" s="1"/>
      <c r="AR380" s="1"/>
    </row>
    <row r="381" spans="1:44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49</v>
      </c>
      <c r="X381">
        <v>2811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154</v>
      </c>
      <c r="AJ381">
        <v>122</v>
      </c>
      <c r="AK381">
        <v>0</v>
      </c>
      <c r="AL381">
        <f t="shared" si="5"/>
        <v>186</v>
      </c>
      <c r="AM381">
        <f>IF(OR(Table1[[#This Row],[marital_Married]]=1,Table1[[#This Row],[marital_Together]]=1),1,0)</f>
        <v>1</v>
      </c>
      <c r="AN381" t="str">
        <f>IF(Table1[[#This Row],[Income]]&gt;=70000,"HIGH INCOME","LOW INCOME")</f>
        <v>LOW INCOME</v>
      </c>
      <c r="AO381" s="1" t="str">
        <f>IF(Table1[[#This Row],[MNT_TOTAL]]&gt;=900,"HIGH VALUE","LOW VALUE")</f>
        <v>LOW VALUE</v>
      </c>
      <c r="AP3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81" s="1"/>
      <c r="AR381" s="1"/>
    </row>
    <row r="382" spans="1:44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36</v>
      </c>
      <c r="X382">
        <v>2826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28</v>
      </c>
      <c r="AJ382">
        <v>9</v>
      </c>
      <c r="AK382">
        <v>0</v>
      </c>
      <c r="AL382">
        <f t="shared" si="5"/>
        <v>47</v>
      </c>
      <c r="AM382">
        <f>IF(OR(Table1[[#This Row],[marital_Married]]=1,Table1[[#This Row],[marital_Together]]=1),1,0)</f>
        <v>1</v>
      </c>
      <c r="AN382" t="str">
        <f>IF(Table1[[#This Row],[Income]]&gt;=70000,"HIGH INCOME","LOW INCOME")</f>
        <v>LOW INCOME</v>
      </c>
      <c r="AO382" s="1" t="str">
        <f>IF(Table1[[#This Row],[MNT_TOTAL]]&gt;=900,"HIGH VALUE","LOW VALUE")</f>
        <v>LOW VALUE</v>
      </c>
      <c r="AP3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82" s="1"/>
      <c r="AR382" s="1"/>
    </row>
    <row r="383" spans="1:44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33</v>
      </c>
      <c r="X383">
        <v>2711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22</v>
      </c>
      <c r="AJ383">
        <v>17</v>
      </c>
      <c r="AK383">
        <v>0</v>
      </c>
      <c r="AL383">
        <f t="shared" si="5"/>
        <v>27</v>
      </c>
      <c r="AM383">
        <f>IF(OR(Table1[[#This Row],[marital_Married]]=1,Table1[[#This Row],[marital_Together]]=1),1,0)</f>
        <v>0</v>
      </c>
      <c r="AN383" t="str">
        <f>IF(Table1[[#This Row],[Income]]&gt;=70000,"HIGH INCOME","LOW INCOME")</f>
        <v>LOW INCOME</v>
      </c>
      <c r="AO383" s="1" t="str">
        <f>IF(Table1[[#This Row],[MNT_TOTAL]]&gt;=900,"HIGH VALUE","LOW VALUE")</f>
        <v>LOW VALUE</v>
      </c>
      <c r="AP3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3" s="1"/>
      <c r="AR383" s="1"/>
    </row>
    <row r="384" spans="1:44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40</v>
      </c>
      <c r="X384">
        <v>2756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61</v>
      </c>
      <c r="AJ384">
        <v>26</v>
      </c>
      <c r="AK384">
        <v>0</v>
      </c>
      <c r="AL384">
        <f t="shared" si="5"/>
        <v>96</v>
      </c>
      <c r="AM384">
        <f>IF(OR(Table1[[#This Row],[marital_Married]]=1,Table1[[#This Row],[marital_Together]]=1),1,0)</f>
        <v>1</v>
      </c>
      <c r="AN384" t="str">
        <f>IF(Table1[[#This Row],[Income]]&gt;=70000,"HIGH INCOME","LOW INCOME")</f>
        <v>LOW INCOME</v>
      </c>
      <c r="AO384" s="1" t="str">
        <f>IF(Table1[[#This Row],[MNT_TOTAL]]&gt;=900,"HIGH VALUE","LOW VALUE")</f>
        <v>LOW VALUE</v>
      </c>
      <c r="AP3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84" s="1"/>
      <c r="AR384" s="1"/>
    </row>
    <row r="385" spans="1:44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64</v>
      </c>
      <c r="X385">
        <v>2622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57</v>
      </c>
      <c r="AJ385">
        <v>50</v>
      </c>
      <c r="AK385">
        <v>0</v>
      </c>
      <c r="AL385">
        <f t="shared" si="5"/>
        <v>64</v>
      </c>
      <c r="AM385">
        <f>IF(OR(Table1[[#This Row],[marital_Married]]=1,Table1[[#This Row],[marital_Together]]=1),1,0)</f>
        <v>0</v>
      </c>
      <c r="AN385" t="str">
        <f>IF(Table1[[#This Row],[Income]]&gt;=70000,"HIGH INCOME","LOW INCOME")</f>
        <v>LOW INCOME</v>
      </c>
      <c r="AO385" s="1" t="str">
        <f>IF(Table1[[#This Row],[MNT_TOTAL]]&gt;=900,"HIGH VALUE","LOW VALUE")</f>
        <v>LOW VALUE</v>
      </c>
      <c r="AP3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5" s="1"/>
      <c r="AR385" s="1"/>
    </row>
    <row r="386" spans="1:44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55</v>
      </c>
      <c r="X386">
        <v>2799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1019</v>
      </c>
      <c r="AJ386">
        <v>998</v>
      </c>
      <c r="AK386">
        <v>0</v>
      </c>
      <c r="AL386">
        <f t="shared" ref="AL386:AL449" si="6">SUM(E386:J386)</f>
        <v>1040</v>
      </c>
      <c r="AM386">
        <f>IF(OR(Table1[[#This Row],[marital_Married]]=1,Table1[[#This Row],[marital_Together]]=1),1,0)</f>
        <v>1</v>
      </c>
      <c r="AN386" t="str">
        <f>IF(Table1[[#This Row],[Income]]&gt;=70000,"HIGH INCOME","LOW INCOME")</f>
        <v>HIGH INCOME</v>
      </c>
      <c r="AO386" s="1" t="str">
        <f>IF(Table1[[#This Row],[MNT_TOTAL]]&gt;=900,"HIGH VALUE","LOW VALUE")</f>
        <v>HIGH VALUE</v>
      </c>
      <c r="AP3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86" s="1"/>
      <c r="AR386" s="1"/>
    </row>
    <row r="387" spans="1:44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46</v>
      </c>
      <c r="X387">
        <v>2477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144</v>
      </c>
      <c r="AJ387">
        <v>125</v>
      </c>
      <c r="AK387">
        <v>0</v>
      </c>
      <c r="AL387">
        <f t="shared" si="6"/>
        <v>163</v>
      </c>
      <c r="AM387">
        <f>IF(OR(Table1[[#This Row],[marital_Married]]=1,Table1[[#This Row],[marital_Together]]=1),1,0)</f>
        <v>0</v>
      </c>
      <c r="AN387" t="str">
        <f>IF(Table1[[#This Row],[Income]]&gt;=70000,"HIGH INCOME","LOW INCOME")</f>
        <v>LOW INCOME</v>
      </c>
      <c r="AO387" s="1" t="str">
        <f>IF(Table1[[#This Row],[MNT_TOTAL]]&gt;=900,"HIGH VALUE","LOW VALUE")</f>
        <v>LOW VALUE</v>
      </c>
      <c r="AP3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7" s="1"/>
      <c r="AR387" s="1"/>
    </row>
    <row r="388" spans="1:44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60</v>
      </c>
      <c r="X388">
        <v>2634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233</v>
      </c>
      <c r="AJ388">
        <v>123</v>
      </c>
      <c r="AK388">
        <v>0</v>
      </c>
      <c r="AL388">
        <f t="shared" si="6"/>
        <v>343</v>
      </c>
      <c r="AM388">
        <f>IF(OR(Table1[[#This Row],[marital_Married]]=1,Table1[[#This Row],[marital_Together]]=1),1,0)</f>
        <v>1</v>
      </c>
      <c r="AN388" t="str">
        <f>IF(Table1[[#This Row],[Income]]&gt;=70000,"HIGH INCOME","LOW INCOME")</f>
        <v>LOW INCOME</v>
      </c>
      <c r="AO388" s="1" t="str">
        <f>IF(Table1[[#This Row],[MNT_TOTAL]]&gt;=900,"HIGH VALUE","LOW VALUE")</f>
        <v>LOW VALUE</v>
      </c>
      <c r="AP3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88" s="1"/>
      <c r="AR388" s="1"/>
    </row>
    <row r="389" spans="1:44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65</v>
      </c>
      <c r="X389">
        <v>2409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442</v>
      </c>
      <c r="AJ389">
        <v>438</v>
      </c>
      <c r="AK389">
        <v>1</v>
      </c>
      <c r="AL389">
        <f t="shared" si="6"/>
        <v>446</v>
      </c>
      <c r="AM389">
        <f>IF(OR(Table1[[#This Row],[marital_Married]]=1,Table1[[#This Row],[marital_Together]]=1),1,0)</f>
        <v>0</v>
      </c>
      <c r="AN389" t="str">
        <f>IF(Table1[[#This Row],[Income]]&gt;=70000,"HIGH INCOME","LOW INCOME")</f>
        <v>LOW INCOME</v>
      </c>
      <c r="AO389" s="1" t="str">
        <f>IF(Table1[[#This Row],[MNT_TOTAL]]&gt;=900,"HIGH VALUE","LOW VALUE")</f>
        <v>LOW VALUE</v>
      </c>
      <c r="AP3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89" s="1"/>
      <c r="AR389" s="1"/>
    </row>
    <row r="390" spans="1:44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55</v>
      </c>
      <c r="X390">
        <v>2179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39</v>
      </c>
      <c r="AJ390">
        <v>37</v>
      </c>
      <c r="AK390">
        <v>0</v>
      </c>
      <c r="AL390">
        <f t="shared" si="6"/>
        <v>41</v>
      </c>
      <c r="AM390">
        <f>IF(OR(Table1[[#This Row],[marital_Married]]=1,Table1[[#This Row],[marital_Together]]=1),1,0)</f>
        <v>1</v>
      </c>
      <c r="AN390" t="str">
        <f>IF(Table1[[#This Row],[Income]]&gt;=70000,"HIGH INCOME","LOW INCOME")</f>
        <v>LOW INCOME</v>
      </c>
      <c r="AO390" s="1" t="str">
        <f>IF(Table1[[#This Row],[MNT_TOTAL]]&gt;=900,"HIGH VALUE","LOW VALUE")</f>
        <v>LOW VALUE</v>
      </c>
      <c r="AP3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90" s="1"/>
      <c r="AR390" s="1"/>
    </row>
    <row r="391" spans="1:44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48</v>
      </c>
      <c r="X391">
        <v>2827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67</v>
      </c>
      <c r="AJ391">
        <v>64</v>
      </c>
      <c r="AK391">
        <v>0</v>
      </c>
      <c r="AL391">
        <f t="shared" si="6"/>
        <v>70</v>
      </c>
      <c r="AM391">
        <f>IF(OR(Table1[[#This Row],[marital_Married]]=1,Table1[[#This Row],[marital_Together]]=1),1,0)</f>
        <v>0</v>
      </c>
      <c r="AN391" t="str">
        <f>IF(Table1[[#This Row],[Income]]&gt;=70000,"HIGH INCOME","LOW INCOME")</f>
        <v>LOW INCOME</v>
      </c>
      <c r="AO391" s="1" t="str">
        <f>IF(Table1[[#This Row],[MNT_TOTAL]]&gt;=900,"HIGH VALUE","LOW VALUE")</f>
        <v>LOW VALUE</v>
      </c>
      <c r="AP3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1" s="1"/>
      <c r="AR391" s="1"/>
    </row>
    <row r="392" spans="1:44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49</v>
      </c>
      <c r="X392">
        <v>2189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262</v>
      </c>
      <c r="AJ392">
        <v>252</v>
      </c>
      <c r="AK392">
        <v>0</v>
      </c>
      <c r="AL392">
        <f t="shared" si="6"/>
        <v>272</v>
      </c>
      <c r="AM392">
        <f>IF(OR(Table1[[#This Row],[marital_Married]]=1,Table1[[#This Row],[marital_Together]]=1),1,0)</f>
        <v>0</v>
      </c>
      <c r="AN392" t="str">
        <f>IF(Table1[[#This Row],[Income]]&gt;=70000,"HIGH INCOME","LOW INCOME")</f>
        <v>LOW INCOME</v>
      </c>
      <c r="AO392" s="1" t="str">
        <f>IF(Table1[[#This Row],[MNT_TOTAL]]&gt;=900,"HIGH VALUE","LOW VALUE")</f>
        <v>LOW VALUE</v>
      </c>
      <c r="AP3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2" s="1"/>
      <c r="AR392" s="1"/>
    </row>
    <row r="393" spans="1:44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46</v>
      </c>
      <c r="X393">
        <v>2547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44</v>
      </c>
      <c r="AJ393">
        <v>42</v>
      </c>
      <c r="AK393">
        <v>0</v>
      </c>
      <c r="AL393">
        <f t="shared" si="6"/>
        <v>46</v>
      </c>
      <c r="AM393">
        <f>IF(OR(Table1[[#This Row],[marital_Married]]=1,Table1[[#This Row],[marital_Together]]=1),1,0)</f>
        <v>1</v>
      </c>
      <c r="AN393" t="str">
        <f>IF(Table1[[#This Row],[Income]]&gt;=70000,"HIGH INCOME","LOW INCOME")</f>
        <v>LOW INCOME</v>
      </c>
      <c r="AO393" s="1" t="str">
        <f>IF(Table1[[#This Row],[MNT_TOTAL]]&gt;=900,"HIGH VALUE","LOW VALUE")</f>
        <v>LOW VALUE</v>
      </c>
      <c r="AP3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93" s="1"/>
      <c r="AR393" s="1"/>
    </row>
    <row r="394" spans="1:44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57</v>
      </c>
      <c r="X394">
        <v>2779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486</v>
      </c>
      <c r="AJ394">
        <v>482</v>
      </c>
      <c r="AK394">
        <v>0</v>
      </c>
      <c r="AL394">
        <f t="shared" si="6"/>
        <v>490</v>
      </c>
      <c r="AM394">
        <f>IF(OR(Table1[[#This Row],[marital_Married]]=1,Table1[[#This Row],[marital_Together]]=1),1,0)</f>
        <v>1</v>
      </c>
      <c r="AN394" t="str">
        <f>IF(Table1[[#This Row],[Income]]&gt;=70000,"HIGH INCOME","LOW INCOME")</f>
        <v>LOW INCOME</v>
      </c>
      <c r="AO394" s="1" t="str">
        <f>IF(Table1[[#This Row],[MNT_TOTAL]]&gt;=900,"HIGH VALUE","LOW VALUE")</f>
        <v>LOW VALUE</v>
      </c>
      <c r="AP3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394" s="1"/>
      <c r="AR394" s="1"/>
    </row>
    <row r="395" spans="1:44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38</v>
      </c>
      <c r="X395">
        <v>2748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47</v>
      </c>
      <c r="AJ395">
        <v>15</v>
      </c>
      <c r="AK395">
        <v>0</v>
      </c>
      <c r="AL395">
        <f t="shared" si="6"/>
        <v>79</v>
      </c>
      <c r="AM395">
        <f>IF(OR(Table1[[#This Row],[marital_Married]]=1,Table1[[#This Row],[marital_Together]]=1),1,0)</f>
        <v>0</v>
      </c>
      <c r="AN395" t="str">
        <f>IF(Table1[[#This Row],[Income]]&gt;=70000,"HIGH INCOME","LOW INCOME")</f>
        <v>LOW INCOME</v>
      </c>
      <c r="AO395" s="1" t="str">
        <f>IF(Table1[[#This Row],[MNT_TOTAL]]&gt;=900,"HIGH VALUE","LOW VALUE")</f>
        <v>LOW VALUE</v>
      </c>
      <c r="AP3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5" s="1"/>
      <c r="AR395" s="1"/>
    </row>
    <row r="396" spans="1:44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44</v>
      </c>
      <c r="X396">
        <v>2756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889</v>
      </c>
      <c r="AJ396">
        <v>863</v>
      </c>
      <c r="AK396">
        <v>0</v>
      </c>
      <c r="AL396">
        <f t="shared" si="6"/>
        <v>915</v>
      </c>
      <c r="AM396">
        <f>IF(OR(Table1[[#This Row],[marital_Married]]=1,Table1[[#This Row],[marital_Together]]=1),1,0)</f>
        <v>1</v>
      </c>
      <c r="AN396" t="str">
        <f>IF(Table1[[#This Row],[Income]]&gt;=70000,"HIGH INCOME","LOW INCOME")</f>
        <v>LOW INCOME</v>
      </c>
      <c r="AO396" s="1" t="str">
        <f>IF(Table1[[#This Row],[MNT_TOTAL]]&gt;=900,"HIGH VALUE","LOW VALUE")</f>
        <v>HIGH VALUE</v>
      </c>
      <c r="AP3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6" s="1"/>
      <c r="AR396" s="1"/>
    </row>
    <row r="397" spans="1:44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65</v>
      </c>
      <c r="X397">
        <v>2615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1471</v>
      </c>
      <c r="AJ397">
        <v>1457</v>
      </c>
      <c r="AK397">
        <v>1</v>
      </c>
      <c r="AL397">
        <f t="shared" si="6"/>
        <v>1485</v>
      </c>
      <c r="AM397">
        <f>IF(OR(Table1[[#This Row],[marital_Married]]=1,Table1[[#This Row],[marital_Together]]=1),1,0)</f>
        <v>1</v>
      </c>
      <c r="AN397" t="str">
        <f>IF(Table1[[#This Row],[Income]]&gt;=70000,"HIGH INCOME","LOW INCOME")</f>
        <v>LOW INCOME</v>
      </c>
      <c r="AO397" s="1" t="str">
        <f>IF(Table1[[#This Row],[MNT_TOTAL]]&gt;=900,"HIGH VALUE","LOW VALUE")</f>
        <v>HIGH VALUE</v>
      </c>
      <c r="AP3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7" s="1"/>
      <c r="AR397" s="1"/>
    </row>
    <row r="398" spans="1:44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33</v>
      </c>
      <c r="X398">
        <v>2835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363</v>
      </c>
      <c r="AJ398">
        <v>357</v>
      </c>
      <c r="AK398">
        <v>0</v>
      </c>
      <c r="AL398">
        <f t="shared" si="6"/>
        <v>369</v>
      </c>
      <c r="AM398">
        <f>IF(OR(Table1[[#This Row],[marital_Married]]=1,Table1[[#This Row],[marital_Together]]=1),1,0)</f>
        <v>0</v>
      </c>
      <c r="AN398" t="str">
        <f>IF(Table1[[#This Row],[Income]]&gt;=70000,"HIGH INCOME","LOW INCOME")</f>
        <v>LOW INCOME</v>
      </c>
      <c r="AO398" s="1" t="str">
        <f>IF(Table1[[#This Row],[MNT_TOTAL]]&gt;=900,"HIGH VALUE","LOW VALUE")</f>
        <v>LOW VALUE</v>
      </c>
      <c r="AP3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398" s="1"/>
      <c r="AR398" s="1"/>
    </row>
    <row r="399" spans="1:44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58</v>
      </c>
      <c r="X399">
        <v>2681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948</v>
      </c>
      <c r="AJ399">
        <v>823</v>
      </c>
      <c r="AK399">
        <v>0</v>
      </c>
      <c r="AL399">
        <f t="shared" si="6"/>
        <v>1073</v>
      </c>
      <c r="AM399">
        <f>IF(OR(Table1[[#This Row],[marital_Married]]=1,Table1[[#This Row],[marital_Together]]=1),1,0)</f>
        <v>1</v>
      </c>
      <c r="AN399" t="str">
        <f>IF(Table1[[#This Row],[Income]]&gt;=70000,"HIGH INCOME","LOW INCOME")</f>
        <v>HIGH INCOME</v>
      </c>
      <c r="AO399" s="1" t="str">
        <f>IF(Table1[[#This Row],[MNT_TOTAL]]&gt;=900,"HIGH VALUE","LOW VALUE")</f>
        <v>HIGH VALUE</v>
      </c>
      <c r="AP3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399" s="1"/>
      <c r="AR399" s="1"/>
    </row>
    <row r="400" spans="1:44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77</v>
      </c>
      <c r="X400">
        <v>2249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1230</v>
      </c>
      <c r="AJ400">
        <v>1218</v>
      </c>
      <c r="AK400">
        <v>0</v>
      </c>
      <c r="AL400">
        <f t="shared" si="6"/>
        <v>1242</v>
      </c>
      <c r="AM400">
        <f>IF(OR(Table1[[#This Row],[marital_Married]]=1,Table1[[#This Row],[marital_Together]]=1),1,0)</f>
        <v>1</v>
      </c>
      <c r="AN400" t="str">
        <f>IF(Table1[[#This Row],[Income]]&gt;=70000,"HIGH INCOME","LOW INCOME")</f>
        <v>HIGH INCOME</v>
      </c>
      <c r="AO400" s="1" t="str">
        <f>IF(Table1[[#This Row],[MNT_TOTAL]]&gt;=900,"HIGH VALUE","LOW VALUE")</f>
        <v>HIGH VALUE</v>
      </c>
      <c r="AP4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00" s="1"/>
      <c r="AR400" s="1"/>
    </row>
    <row r="401" spans="1:44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45</v>
      </c>
      <c r="X401">
        <v>2380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50</v>
      </c>
      <c r="AJ401">
        <v>22</v>
      </c>
      <c r="AK401">
        <v>1</v>
      </c>
      <c r="AL401">
        <f t="shared" si="6"/>
        <v>78</v>
      </c>
      <c r="AM401">
        <f>IF(OR(Table1[[#This Row],[marital_Married]]=1,Table1[[#This Row],[marital_Together]]=1),1,0)</f>
        <v>1</v>
      </c>
      <c r="AN401" t="str">
        <f>IF(Table1[[#This Row],[Income]]&gt;=70000,"HIGH INCOME","LOW INCOME")</f>
        <v>LOW INCOME</v>
      </c>
      <c r="AO401" s="1" t="str">
        <f>IF(Table1[[#This Row],[MNT_TOTAL]]&gt;=900,"HIGH VALUE","LOW VALUE")</f>
        <v>LOW VALUE</v>
      </c>
      <c r="AP4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01" s="1"/>
      <c r="AR401" s="1"/>
    </row>
    <row r="402" spans="1:44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26</v>
      </c>
      <c r="X402">
        <v>2294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1352</v>
      </c>
      <c r="AJ402">
        <v>1326</v>
      </c>
      <c r="AK402">
        <v>4</v>
      </c>
      <c r="AL402">
        <f t="shared" si="6"/>
        <v>1378</v>
      </c>
      <c r="AM402">
        <f>IF(OR(Table1[[#This Row],[marital_Married]]=1,Table1[[#This Row],[marital_Together]]=1),1,0)</f>
        <v>1</v>
      </c>
      <c r="AN402" t="str">
        <f>IF(Table1[[#This Row],[Income]]&gt;=70000,"HIGH INCOME","LOW INCOME")</f>
        <v>HIGH INCOME</v>
      </c>
      <c r="AO402" s="1" t="str">
        <f>IF(Table1[[#This Row],[MNT_TOTAL]]&gt;=900,"HIGH VALUE","LOW VALUE")</f>
        <v>HIGH VALUE</v>
      </c>
      <c r="AP4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02" s="1"/>
      <c r="AR402" s="1"/>
    </row>
    <row r="403" spans="1:44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  <c r="W403">
        <v>39</v>
      </c>
      <c r="X403">
        <v>2651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1360</v>
      </c>
      <c r="AJ403">
        <v>1246</v>
      </c>
      <c r="AK403">
        <v>2</v>
      </c>
      <c r="AL403">
        <f t="shared" si="6"/>
        <v>1474</v>
      </c>
      <c r="AM403">
        <f>IF(OR(Table1[[#This Row],[marital_Married]]=1,Table1[[#This Row],[marital_Together]]=1),1,0)</f>
        <v>0</v>
      </c>
      <c r="AN403" t="str">
        <f>IF(Table1[[#This Row],[Income]]&gt;=70000,"HIGH INCOME","LOW INCOME")</f>
        <v>HIGH INCOME</v>
      </c>
      <c r="AO403" s="1" t="str">
        <f>IF(Table1[[#This Row],[MNT_TOTAL]]&gt;=900,"HIGH VALUE","LOW VALUE")</f>
        <v>HIGH VALUE</v>
      </c>
      <c r="AP4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03" s="1"/>
      <c r="AR403" s="1"/>
    </row>
    <row r="404" spans="1:44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49</v>
      </c>
      <c r="X404">
        <v>2640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723</v>
      </c>
      <c r="AJ404">
        <v>695</v>
      </c>
      <c r="AK404">
        <v>0</v>
      </c>
      <c r="AL404">
        <f t="shared" si="6"/>
        <v>751</v>
      </c>
      <c r="AM404">
        <f>IF(OR(Table1[[#This Row],[marital_Married]]=1,Table1[[#This Row],[marital_Together]]=1),1,0)</f>
        <v>1</v>
      </c>
      <c r="AN404" t="str">
        <f>IF(Table1[[#This Row],[Income]]&gt;=70000,"HIGH INCOME","LOW INCOME")</f>
        <v>LOW INCOME</v>
      </c>
      <c r="AO404" s="1" t="str">
        <f>IF(Table1[[#This Row],[MNT_TOTAL]]&gt;=900,"HIGH VALUE","LOW VALUE")</f>
        <v>LOW VALUE</v>
      </c>
      <c r="AP4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04" s="1"/>
      <c r="AR404" s="1"/>
    </row>
    <row r="405" spans="1:44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47</v>
      </c>
      <c r="X405">
        <v>2213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45</v>
      </c>
      <c r="AJ405">
        <v>42</v>
      </c>
      <c r="AK405">
        <v>0</v>
      </c>
      <c r="AL405">
        <f t="shared" si="6"/>
        <v>48</v>
      </c>
      <c r="AM405">
        <f>IF(OR(Table1[[#This Row],[marital_Married]]=1,Table1[[#This Row],[marital_Together]]=1),1,0)</f>
        <v>1</v>
      </c>
      <c r="AN405" t="str">
        <f>IF(Table1[[#This Row],[Income]]&gt;=70000,"HIGH INCOME","LOW INCOME")</f>
        <v>LOW INCOME</v>
      </c>
      <c r="AO405" s="1" t="str">
        <f>IF(Table1[[#This Row],[MNT_TOTAL]]&gt;=900,"HIGH VALUE","LOW VALUE")</f>
        <v>LOW VALUE</v>
      </c>
      <c r="AP4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05" s="1"/>
      <c r="AR405" s="1"/>
    </row>
    <row r="406" spans="1:44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37</v>
      </c>
      <c r="X406">
        <v>2197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36</v>
      </c>
      <c r="AJ406">
        <v>27</v>
      </c>
      <c r="AK406">
        <v>0</v>
      </c>
      <c r="AL406">
        <f t="shared" si="6"/>
        <v>45</v>
      </c>
      <c r="AM406">
        <f>IF(OR(Table1[[#This Row],[marital_Married]]=1,Table1[[#This Row],[marital_Together]]=1),1,0)</f>
        <v>1</v>
      </c>
      <c r="AN406" t="str">
        <f>IF(Table1[[#This Row],[Income]]&gt;=70000,"HIGH INCOME","LOW INCOME")</f>
        <v>LOW INCOME</v>
      </c>
      <c r="AO406" s="1" t="str">
        <f>IF(Table1[[#This Row],[MNT_TOTAL]]&gt;=900,"HIGH VALUE","LOW VALUE")</f>
        <v>LOW VALUE</v>
      </c>
      <c r="AP4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06" s="1"/>
      <c r="AR406" s="1"/>
    </row>
    <row r="407" spans="1:44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38</v>
      </c>
      <c r="X407">
        <v>2183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9</v>
      </c>
      <c r="AJ407">
        <v>8</v>
      </c>
      <c r="AK407">
        <v>0</v>
      </c>
      <c r="AL407">
        <f t="shared" si="6"/>
        <v>10</v>
      </c>
      <c r="AM407">
        <f>IF(OR(Table1[[#This Row],[marital_Married]]=1,Table1[[#This Row],[marital_Together]]=1),1,0)</f>
        <v>1</v>
      </c>
      <c r="AN407" t="str">
        <f>IF(Table1[[#This Row],[Income]]&gt;=70000,"HIGH INCOME","LOW INCOME")</f>
        <v>LOW INCOME</v>
      </c>
      <c r="AO407" s="1" t="str">
        <f>IF(Table1[[#This Row],[MNT_TOTAL]]&gt;=900,"HIGH VALUE","LOW VALUE")</f>
        <v>LOW VALUE</v>
      </c>
      <c r="AP4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07" s="1"/>
      <c r="AR407" s="1"/>
    </row>
    <row r="408" spans="1:44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46</v>
      </c>
      <c r="X408">
        <v>2549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1367</v>
      </c>
      <c r="AJ408">
        <v>1299</v>
      </c>
      <c r="AK408">
        <v>2</v>
      </c>
      <c r="AL408">
        <f t="shared" si="6"/>
        <v>1435</v>
      </c>
      <c r="AM408">
        <f>IF(OR(Table1[[#This Row],[marital_Married]]=1,Table1[[#This Row],[marital_Together]]=1),1,0)</f>
        <v>1</v>
      </c>
      <c r="AN408" t="str">
        <f>IF(Table1[[#This Row],[Income]]&gt;=70000,"HIGH INCOME","LOW INCOME")</f>
        <v>HIGH INCOME</v>
      </c>
      <c r="AO408" s="1" t="str">
        <f>IF(Table1[[#This Row],[MNT_TOTAL]]&gt;=900,"HIGH VALUE","LOW VALUE")</f>
        <v>HIGH VALUE</v>
      </c>
      <c r="AP4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08" s="1"/>
      <c r="AR408" s="1"/>
    </row>
    <row r="409" spans="1:44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79</v>
      </c>
      <c r="X409">
        <v>2601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2098</v>
      </c>
      <c r="AJ409">
        <v>2077</v>
      </c>
      <c r="AK409">
        <v>1</v>
      </c>
      <c r="AL409">
        <f t="shared" si="6"/>
        <v>2119</v>
      </c>
      <c r="AM409">
        <f>IF(OR(Table1[[#This Row],[marital_Married]]=1,Table1[[#This Row],[marital_Together]]=1),1,0)</f>
        <v>1</v>
      </c>
      <c r="AN409" t="str">
        <f>IF(Table1[[#This Row],[Income]]&gt;=70000,"HIGH INCOME","LOW INCOME")</f>
        <v>HIGH INCOME</v>
      </c>
      <c r="AO409" s="1" t="str">
        <f>IF(Table1[[#This Row],[MNT_TOTAL]]&gt;=900,"HIGH VALUE","LOW VALUE")</f>
        <v>HIGH VALUE</v>
      </c>
      <c r="AP4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09" s="1"/>
      <c r="AR409" s="1"/>
    </row>
    <row r="410" spans="1:44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67</v>
      </c>
      <c r="X410">
        <v>2366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19</v>
      </c>
      <c r="AJ410">
        <v>18</v>
      </c>
      <c r="AK410">
        <v>0</v>
      </c>
      <c r="AL410">
        <f t="shared" si="6"/>
        <v>20</v>
      </c>
      <c r="AM410">
        <f>IF(OR(Table1[[#This Row],[marital_Married]]=1,Table1[[#This Row],[marital_Together]]=1),1,0)</f>
        <v>1</v>
      </c>
      <c r="AN410" t="str">
        <f>IF(Table1[[#This Row],[Income]]&gt;=70000,"HIGH INCOME","LOW INCOME")</f>
        <v>LOW INCOME</v>
      </c>
      <c r="AO410" s="1" t="str">
        <f>IF(Table1[[#This Row],[MNT_TOTAL]]&gt;=900,"HIGH VALUE","LOW VALUE")</f>
        <v>LOW VALUE</v>
      </c>
      <c r="AP4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10" s="1"/>
      <c r="AR410" s="1"/>
    </row>
    <row r="411" spans="1:44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34</v>
      </c>
      <c r="X411">
        <v>2225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1762</v>
      </c>
      <c r="AJ411">
        <v>1729</v>
      </c>
      <c r="AK411">
        <v>3</v>
      </c>
      <c r="AL411">
        <f t="shared" si="6"/>
        <v>1795</v>
      </c>
      <c r="AM411">
        <f>IF(OR(Table1[[#This Row],[marital_Married]]=1,Table1[[#This Row],[marital_Together]]=1),1,0)</f>
        <v>1</v>
      </c>
      <c r="AN411" t="str">
        <f>IF(Table1[[#This Row],[Income]]&gt;=70000,"HIGH INCOME","LOW INCOME")</f>
        <v>HIGH INCOME</v>
      </c>
      <c r="AO411" s="1" t="str">
        <f>IF(Table1[[#This Row],[MNT_TOTAL]]&gt;=900,"HIGH VALUE","LOW VALUE")</f>
        <v>HIGH VALUE</v>
      </c>
      <c r="AP4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11" s="1"/>
      <c r="AR411" s="1"/>
    </row>
    <row r="412" spans="1:44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31</v>
      </c>
      <c r="X412">
        <v>2244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1131</v>
      </c>
      <c r="AJ412">
        <v>1074</v>
      </c>
      <c r="AK412">
        <v>2</v>
      </c>
      <c r="AL412">
        <f t="shared" si="6"/>
        <v>1188</v>
      </c>
      <c r="AM412">
        <f>IF(OR(Table1[[#This Row],[marital_Married]]=1,Table1[[#This Row],[marital_Together]]=1),1,0)</f>
        <v>1</v>
      </c>
      <c r="AN412" t="str">
        <f>IF(Table1[[#This Row],[Income]]&gt;=70000,"HIGH INCOME","LOW INCOME")</f>
        <v>HIGH INCOME</v>
      </c>
      <c r="AO412" s="1" t="str">
        <f>IF(Table1[[#This Row],[MNT_TOTAL]]&gt;=900,"HIGH VALUE","LOW VALUE")</f>
        <v>HIGH VALUE</v>
      </c>
      <c r="AP4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12" s="1"/>
      <c r="AR412" s="1"/>
    </row>
    <row r="413" spans="1:44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31</v>
      </c>
      <c r="X413">
        <v>2215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31</v>
      </c>
      <c r="AJ413">
        <v>19</v>
      </c>
      <c r="AK413">
        <v>0</v>
      </c>
      <c r="AL413">
        <f t="shared" si="6"/>
        <v>43</v>
      </c>
      <c r="AM413">
        <f>IF(OR(Table1[[#This Row],[marital_Married]]=1,Table1[[#This Row],[marital_Together]]=1),1,0)</f>
        <v>1</v>
      </c>
      <c r="AN413" t="str">
        <f>IF(Table1[[#This Row],[Income]]&gt;=70000,"HIGH INCOME","LOW INCOME")</f>
        <v>LOW INCOME</v>
      </c>
      <c r="AO413" s="1" t="str">
        <f>IF(Table1[[#This Row],[MNT_TOTAL]]&gt;=900,"HIGH VALUE","LOW VALUE")</f>
        <v>LOW VALUE</v>
      </c>
      <c r="AP4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13" s="1"/>
      <c r="AR413" s="1"/>
    </row>
    <row r="414" spans="1:44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52</v>
      </c>
      <c r="X414">
        <v>2589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836</v>
      </c>
      <c r="AJ414">
        <v>664</v>
      </c>
      <c r="AK414">
        <v>0</v>
      </c>
      <c r="AL414">
        <f t="shared" si="6"/>
        <v>1008</v>
      </c>
      <c r="AM414">
        <f>IF(OR(Table1[[#This Row],[marital_Married]]=1,Table1[[#This Row],[marital_Together]]=1),1,0)</f>
        <v>1</v>
      </c>
      <c r="AN414" t="str">
        <f>IF(Table1[[#This Row],[Income]]&gt;=70000,"HIGH INCOME","LOW INCOME")</f>
        <v>LOW INCOME</v>
      </c>
      <c r="AO414" s="1" t="str">
        <f>IF(Table1[[#This Row],[MNT_TOTAL]]&gt;=900,"HIGH VALUE","LOW VALUE")</f>
        <v>HIGH VALUE</v>
      </c>
      <c r="AP4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14" s="1"/>
      <c r="AR414" s="1"/>
    </row>
    <row r="415" spans="1:44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1</v>
      </c>
      <c r="W415">
        <v>59</v>
      </c>
      <c r="X415">
        <v>2575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1672</v>
      </c>
      <c r="AJ415">
        <v>1656</v>
      </c>
      <c r="AK415">
        <v>4</v>
      </c>
      <c r="AL415">
        <f t="shared" si="6"/>
        <v>1688</v>
      </c>
      <c r="AM415">
        <f>IF(OR(Table1[[#This Row],[marital_Married]]=1,Table1[[#This Row],[marital_Together]]=1),1,0)</f>
        <v>0</v>
      </c>
      <c r="AN415" t="str">
        <f>IF(Table1[[#This Row],[Income]]&gt;=70000,"HIGH INCOME","LOW INCOME")</f>
        <v>HIGH INCOME</v>
      </c>
      <c r="AO415" s="1" t="str">
        <f>IF(Table1[[#This Row],[MNT_TOTAL]]&gt;=900,"HIGH VALUE","LOW VALUE")</f>
        <v>HIGH VALUE</v>
      </c>
      <c r="AP4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15" s="1"/>
      <c r="AR415" s="1"/>
    </row>
    <row r="416" spans="1:44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31</v>
      </c>
      <c r="X416">
        <v>2767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493</v>
      </c>
      <c r="AJ416">
        <v>302</v>
      </c>
      <c r="AK416">
        <v>0</v>
      </c>
      <c r="AL416">
        <f t="shared" si="6"/>
        <v>684</v>
      </c>
      <c r="AM416">
        <f>IF(OR(Table1[[#This Row],[marital_Married]]=1,Table1[[#This Row],[marital_Together]]=1),1,0)</f>
        <v>1</v>
      </c>
      <c r="AN416" t="str">
        <f>IF(Table1[[#This Row],[Income]]&gt;=70000,"HIGH INCOME","LOW INCOME")</f>
        <v>LOW INCOME</v>
      </c>
      <c r="AO416" s="1" t="str">
        <f>IF(Table1[[#This Row],[MNT_TOTAL]]&gt;=900,"HIGH VALUE","LOW VALUE")</f>
        <v>LOW VALUE</v>
      </c>
      <c r="AP4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16" s="1"/>
      <c r="AR416" s="1"/>
    </row>
    <row r="417" spans="1:44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53</v>
      </c>
      <c r="X417">
        <v>2681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987</v>
      </c>
      <c r="AJ417">
        <v>892</v>
      </c>
      <c r="AK417">
        <v>0</v>
      </c>
      <c r="AL417">
        <f t="shared" si="6"/>
        <v>1082</v>
      </c>
      <c r="AM417">
        <f>IF(OR(Table1[[#This Row],[marital_Married]]=1,Table1[[#This Row],[marital_Together]]=1),1,0)</f>
        <v>1</v>
      </c>
      <c r="AN417" t="str">
        <f>IF(Table1[[#This Row],[Income]]&gt;=70000,"HIGH INCOME","LOW INCOME")</f>
        <v>LOW INCOME</v>
      </c>
      <c r="AO417" s="1" t="str">
        <f>IF(Table1[[#This Row],[MNT_TOTAL]]&gt;=900,"HIGH VALUE","LOW VALUE")</f>
        <v>HIGH VALUE</v>
      </c>
      <c r="AP4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17" s="1"/>
      <c r="AR417" s="1"/>
    </row>
    <row r="418" spans="1:44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56</v>
      </c>
      <c r="X418">
        <v>2375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954</v>
      </c>
      <c r="AJ418">
        <v>840</v>
      </c>
      <c r="AK418">
        <v>0</v>
      </c>
      <c r="AL418">
        <f t="shared" si="6"/>
        <v>1068</v>
      </c>
      <c r="AM418">
        <f>IF(OR(Table1[[#This Row],[marital_Married]]=1,Table1[[#This Row],[marital_Together]]=1),1,0)</f>
        <v>1</v>
      </c>
      <c r="AN418" t="str">
        <f>IF(Table1[[#This Row],[Income]]&gt;=70000,"HIGH INCOME","LOW INCOME")</f>
        <v>HIGH INCOME</v>
      </c>
      <c r="AO418" s="1" t="str">
        <f>IF(Table1[[#This Row],[MNT_TOTAL]]&gt;=900,"HIGH VALUE","LOW VALUE")</f>
        <v>HIGH VALUE</v>
      </c>
      <c r="AP4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18" s="1"/>
      <c r="AR418" s="1"/>
    </row>
    <row r="419" spans="1:44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50</v>
      </c>
      <c r="X419">
        <v>2306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52</v>
      </c>
      <c r="AJ419">
        <v>47</v>
      </c>
      <c r="AK419">
        <v>0</v>
      </c>
      <c r="AL419">
        <f t="shared" si="6"/>
        <v>57</v>
      </c>
      <c r="AM419">
        <f>IF(OR(Table1[[#This Row],[marital_Married]]=1,Table1[[#This Row],[marital_Together]]=1),1,0)</f>
        <v>0</v>
      </c>
      <c r="AN419" t="str">
        <f>IF(Table1[[#This Row],[Income]]&gt;=70000,"HIGH INCOME","LOW INCOME")</f>
        <v>LOW INCOME</v>
      </c>
      <c r="AO419" s="1" t="str">
        <f>IF(Table1[[#This Row],[MNT_TOTAL]]&gt;=900,"HIGH VALUE","LOW VALUE")</f>
        <v>LOW VALUE</v>
      </c>
      <c r="AP4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19" s="1"/>
      <c r="AR419" s="1"/>
    </row>
    <row r="420" spans="1:44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64</v>
      </c>
      <c r="X420">
        <v>2532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40</v>
      </c>
      <c r="AJ420">
        <v>34</v>
      </c>
      <c r="AK420">
        <v>0</v>
      </c>
      <c r="AL420">
        <f t="shared" si="6"/>
        <v>46</v>
      </c>
      <c r="AM420">
        <f>IF(OR(Table1[[#This Row],[marital_Married]]=1,Table1[[#This Row],[marital_Together]]=1),1,0)</f>
        <v>1</v>
      </c>
      <c r="AN420" t="str">
        <f>IF(Table1[[#This Row],[Income]]&gt;=70000,"HIGH INCOME","LOW INCOME")</f>
        <v>LOW INCOME</v>
      </c>
      <c r="AO420" s="1" t="str">
        <f>IF(Table1[[#This Row],[MNT_TOTAL]]&gt;=900,"HIGH VALUE","LOW VALUE")</f>
        <v>LOW VALUE</v>
      </c>
      <c r="AP4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0" s="1"/>
      <c r="AR420" s="1"/>
    </row>
    <row r="421" spans="1:44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54</v>
      </c>
      <c r="X421">
        <v>2349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719</v>
      </c>
      <c r="AJ421">
        <v>705</v>
      </c>
      <c r="AK421">
        <v>0</v>
      </c>
      <c r="AL421">
        <f t="shared" si="6"/>
        <v>733</v>
      </c>
      <c r="AM421">
        <f>IF(OR(Table1[[#This Row],[marital_Married]]=1,Table1[[#This Row],[marital_Together]]=1),1,0)</f>
        <v>0</v>
      </c>
      <c r="AN421" t="str">
        <f>IF(Table1[[#This Row],[Income]]&gt;=70000,"HIGH INCOME","LOW INCOME")</f>
        <v>LOW INCOME</v>
      </c>
      <c r="AO421" s="1" t="str">
        <f>IF(Table1[[#This Row],[MNT_TOTAL]]&gt;=900,"HIGH VALUE","LOW VALUE")</f>
        <v>LOW VALUE</v>
      </c>
      <c r="AP4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21" s="1"/>
      <c r="AR421" s="1"/>
    </row>
    <row r="422" spans="1:44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71</v>
      </c>
      <c r="X422">
        <v>2454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445</v>
      </c>
      <c r="AJ422">
        <v>423</v>
      </c>
      <c r="AK422">
        <v>0</v>
      </c>
      <c r="AL422">
        <f t="shared" si="6"/>
        <v>467</v>
      </c>
      <c r="AM422">
        <f>IF(OR(Table1[[#This Row],[marital_Married]]=1,Table1[[#This Row],[marital_Together]]=1),1,0)</f>
        <v>0</v>
      </c>
      <c r="AN422" t="str">
        <f>IF(Table1[[#This Row],[Income]]&gt;=70000,"HIGH INCOME","LOW INCOME")</f>
        <v>LOW INCOME</v>
      </c>
      <c r="AO422" s="1" t="str">
        <f>IF(Table1[[#This Row],[MNT_TOTAL]]&gt;=900,"HIGH VALUE","LOW VALUE")</f>
        <v>LOW VALUE</v>
      </c>
      <c r="AP4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22" s="1"/>
      <c r="AR422" s="1"/>
    </row>
    <row r="423" spans="1:44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49</v>
      </c>
      <c r="X423">
        <v>2470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117</v>
      </c>
      <c r="AJ423">
        <v>112</v>
      </c>
      <c r="AK423">
        <v>0</v>
      </c>
      <c r="AL423">
        <f t="shared" si="6"/>
        <v>122</v>
      </c>
      <c r="AM423">
        <f>IF(OR(Table1[[#This Row],[marital_Married]]=1,Table1[[#This Row],[marital_Together]]=1),1,0)</f>
        <v>1</v>
      </c>
      <c r="AN423" t="str">
        <f>IF(Table1[[#This Row],[Income]]&gt;=70000,"HIGH INCOME","LOW INCOME")</f>
        <v>LOW INCOME</v>
      </c>
      <c r="AO423" s="1" t="str">
        <f>IF(Table1[[#This Row],[MNT_TOTAL]]&gt;=900,"HIGH VALUE","LOW VALUE")</f>
        <v>LOW VALUE</v>
      </c>
      <c r="AP4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3" s="1"/>
      <c r="AR423" s="1"/>
    </row>
    <row r="424" spans="1:44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34</v>
      </c>
      <c r="X424">
        <v>2666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27</v>
      </c>
      <c r="AJ424">
        <v>18</v>
      </c>
      <c r="AK424">
        <v>0</v>
      </c>
      <c r="AL424">
        <f t="shared" si="6"/>
        <v>36</v>
      </c>
      <c r="AM424">
        <f>IF(OR(Table1[[#This Row],[marital_Married]]=1,Table1[[#This Row],[marital_Together]]=1),1,0)</f>
        <v>1</v>
      </c>
      <c r="AN424" t="str">
        <f>IF(Table1[[#This Row],[Income]]&gt;=70000,"HIGH INCOME","LOW INCOME")</f>
        <v>LOW INCOME</v>
      </c>
      <c r="AO424" s="1" t="str">
        <f>IF(Table1[[#This Row],[MNT_TOTAL]]&gt;=900,"HIGH VALUE","LOW VALUE")</f>
        <v>LOW VALUE</v>
      </c>
      <c r="AP4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4" s="1"/>
      <c r="AR424" s="1"/>
    </row>
    <row r="425" spans="1:44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31</v>
      </c>
      <c r="X425">
        <v>2519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30</v>
      </c>
      <c r="AJ425">
        <v>26</v>
      </c>
      <c r="AK425">
        <v>0</v>
      </c>
      <c r="AL425">
        <f t="shared" si="6"/>
        <v>34</v>
      </c>
      <c r="AM425">
        <f>IF(OR(Table1[[#This Row],[marital_Married]]=1,Table1[[#This Row],[marital_Together]]=1),1,0)</f>
        <v>1</v>
      </c>
      <c r="AN425" t="str">
        <f>IF(Table1[[#This Row],[Income]]&gt;=70000,"HIGH INCOME","LOW INCOME")</f>
        <v>LOW INCOME</v>
      </c>
      <c r="AO425" s="1" t="str">
        <f>IF(Table1[[#This Row],[MNT_TOTAL]]&gt;=900,"HIGH VALUE","LOW VALUE")</f>
        <v>LOW VALUE</v>
      </c>
      <c r="AP4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5" s="1"/>
      <c r="AR425" s="1"/>
    </row>
    <row r="426" spans="1:44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72</v>
      </c>
      <c r="X426">
        <v>2350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152</v>
      </c>
      <c r="AJ426">
        <v>148</v>
      </c>
      <c r="AK426">
        <v>0</v>
      </c>
      <c r="AL426">
        <f t="shared" si="6"/>
        <v>156</v>
      </c>
      <c r="AM426">
        <f>IF(OR(Table1[[#This Row],[marital_Married]]=1,Table1[[#This Row],[marital_Together]]=1),1,0)</f>
        <v>1</v>
      </c>
      <c r="AN426" t="str">
        <f>IF(Table1[[#This Row],[Income]]&gt;=70000,"HIGH INCOME","LOW INCOME")</f>
        <v>LOW INCOME</v>
      </c>
      <c r="AO426" s="1" t="str">
        <f>IF(Table1[[#This Row],[MNT_TOTAL]]&gt;=900,"HIGH VALUE","LOW VALUE")</f>
        <v>LOW VALUE</v>
      </c>
      <c r="AP4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6" s="1"/>
      <c r="AR426" s="1"/>
    </row>
    <row r="427" spans="1:44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74</v>
      </c>
      <c r="X427">
        <v>2486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13</v>
      </c>
      <c r="AJ427">
        <v>12</v>
      </c>
      <c r="AK427">
        <v>0</v>
      </c>
      <c r="AL427">
        <f t="shared" si="6"/>
        <v>14</v>
      </c>
      <c r="AM427">
        <f>IF(OR(Table1[[#This Row],[marital_Married]]=1,Table1[[#This Row],[marital_Together]]=1),1,0)</f>
        <v>1</v>
      </c>
      <c r="AN427" t="str">
        <f>IF(Table1[[#This Row],[Income]]&gt;=70000,"HIGH INCOME","LOW INCOME")</f>
        <v>LOW INCOME</v>
      </c>
      <c r="AO427" s="1" t="str">
        <f>IF(Table1[[#This Row],[MNT_TOTAL]]&gt;=900,"HIGH VALUE","LOW VALUE")</f>
        <v>LOW VALUE</v>
      </c>
      <c r="AP4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7" s="1"/>
      <c r="AR427" s="1"/>
    </row>
    <row r="428" spans="1:44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31</v>
      </c>
      <c r="X428">
        <v>2705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36</v>
      </c>
      <c r="AJ428">
        <v>35</v>
      </c>
      <c r="AK428">
        <v>0</v>
      </c>
      <c r="AL428">
        <f t="shared" si="6"/>
        <v>37</v>
      </c>
      <c r="AM428">
        <f>IF(OR(Table1[[#This Row],[marital_Married]]=1,Table1[[#This Row],[marital_Together]]=1),1,0)</f>
        <v>0</v>
      </c>
      <c r="AN428" t="str">
        <f>IF(Table1[[#This Row],[Income]]&gt;=70000,"HIGH INCOME","LOW INCOME")</f>
        <v>LOW INCOME</v>
      </c>
      <c r="AO428" s="1" t="str">
        <f>IF(Table1[[#This Row],[MNT_TOTAL]]&gt;=900,"HIGH VALUE","LOW VALUE")</f>
        <v>LOW VALUE</v>
      </c>
      <c r="AP4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28" s="1"/>
      <c r="AR428" s="1"/>
    </row>
    <row r="429" spans="1:44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46</v>
      </c>
      <c r="X429">
        <v>2263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22</v>
      </c>
      <c r="AJ429">
        <v>10</v>
      </c>
      <c r="AK429">
        <v>0</v>
      </c>
      <c r="AL429">
        <f t="shared" si="6"/>
        <v>34</v>
      </c>
      <c r="AM429">
        <f>IF(OR(Table1[[#This Row],[marital_Married]]=1,Table1[[#This Row],[marital_Together]]=1),1,0)</f>
        <v>1</v>
      </c>
      <c r="AN429" t="str">
        <f>IF(Table1[[#This Row],[Income]]&gt;=70000,"HIGH INCOME","LOW INCOME")</f>
        <v>LOW INCOME</v>
      </c>
      <c r="AO429" s="1" t="str">
        <f>IF(Table1[[#This Row],[MNT_TOTAL]]&gt;=900,"HIGH VALUE","LOW VALUE")</f>
        <v>LOW VALUE</v>
      </c>
      <c r="AP4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29" s="1"/>
      <c r="AR429" s="1"/>
    </row>
    <row r="430" spans="1:44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61</v>
      </c>
      <c r="X430">
        <v>2510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15</v>
      </c>
      <c r="AJ430">
        <v>10</v>
      </c>
      <c r="AK430">
        <v>0</v>
      </c>
      <c r="AL430">
        <f t="shared" si="6"/>
        <v>20</v>
      </c>
      <c r="AM430">
        <f>IF(OR(Table1[[#This Row],[marital_Married]]=1,Table1[[#This Row],[marital_Together]]=1),1,0)</f>
        <v>0</v>
      </c>
      <c r="AN430" t="str">
        <f>IF(Table1[[#This Row],[Income]]&gt;=70000,"HIGH INCOME","LOW INCOME")</f>
        <v>LOW INCOME</v>
      </c>
      <c r="AO430" s="1" t="str">
        <f>IF(Table1[[#This Row],[MNT_TOTAL]]&gt;=900,"HIGH VALUE","LOW VALUE")</f>
        <v>LOW VALUE</v>
      </c>
      <c r="AP4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0" s="1"/>
      <c r="AR430" s="1"/>
    </row>
    <row r="431" spans="1:44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48</v>
      </c>
      <c r="X431">
        <v>2422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182</v>
      </c>
      <c r="AJ431">
        <v>172</v>
      </c>
      <c r="AK431">
        <v>0</v>
      </c>
      <c r="AL431">
        <f t="shared" si="6"/>
        <v>192</v>
      </c>
      <c r="AM431">
        <f>IF(OR(Table1[[#This Row],[marital_Married]]=1,Table1[[#This Row],[marital_Together]]=1),1,0)</f>
        <v>0</v>
      </c>
      <c r="AN431" t="str">
        <f>IF(Table1[[#This Row],[Income]]&gt;=70000,"HIGH INCOME","LOW INCOME")</f>
        <v>LOW INCOME</v>
      </c>
      <c r="AO431" s="1" t="str">
        <f>IF(Table1[[#This Row],[MNT_TOTAL]]&gt;=900,"HIGH VALUE","LOW VALUE")</f>
        <v>LOW VALUE</v>
      </c>
      <c r="AP4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1" s="1"/>
      <c r="AR431" s="1"/>
    </row>
    <row r="432" spans="1:44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56</v>
      </c>
      <c r="X432">
        <v>2341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1342</v>
      </c>
      <c r="AJ432">
        <v>1305</v>
      </c>
      <c r="AK432">
        <v>2</v>
      </c>
      <c r="AL432">
        <f t="shared" si="6"/>
        <v>1379</v>
      </c>
      <c r="AM432">
        <f>IF(OR(Table1[[#This Row],[marital_Married]]=1,Table1[[#This Row],[marital_Together]]=1),1,0)</f>
        <v>0</v>
      </c>
      <c r="AN432" t="str">
        <f>IF(Table1[[#This Row],[Income]]&gt;=70000,"HIGH INCOME","LOW INCOME")</f>
        <v>HIGH INCOME</v>
      </c>
      <c r="AO432" s="1" t="str">
        <f>IF(Table1[[#This Row],[MNT_TOTAL]]&gt;=900,"HIGH VALUE","LOW VALUE")</f>
        <v>HIGH VALUE</v>
      </c>
      <c r="AP4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32" s="1"/>
      <c r="AR432" s="1"/>
    </row>
    <row r="433" spans="1:44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44</v>
      </c>
      <c r="X433">
        <v>2544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43</v>
      </c>
      <c r="AJ433">
        <v>38</v>
      </c>
      <c r="AK433">
        <v>0</v>
      </c>
      <c r="AL433">
        <f t="shared" si="6"/>
        <v>48</v>
      </c>
      <c r="AM433">
        <f>IF(OR(Table1[[#This Row],[marital_Married]]=1,Table1[[#This Row],[marital_Together]]=1),1,0)</f>
        <v>1</v>
      </c>
      <c r="AN433" t="str">
        <f>IF(Table1[[#This Row],[Income]]&gt;=70000,"HIGH INCOME","LOW INCOME")</f>
        <v>LOW INCOME</v>
      </c>
      <c r="AO433" s="1" t="str">
        <f>IF(Table1[[#This Row],[MNT_TOTAL]]&gt;=900,"HIGH VALUE","LOW VALUE")</f>
        <v>LOW VALUE</v>
      </c>
      <c r="AP4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33" s="1"/>
      <c r="AR433" s="1"/>
    </row>
    <row r="434" spans="1:44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67</v>
      </c>
      <c r="X434">
        <v>2348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393</v>
      </c>
      <c r="AJ434">
        <v>358</v>
      </c>
      <c r="AK434">
        <v>0</v>
      </c>
      <c r="AL434">
        <f t="shared" si="6"/>
        <v>428</v>
      </c>
      <c r="AM434">
        <f>IF(OR(Table1[[#This Row],[marital_Married]]=1,Table1[[#This Row],[marital_Together]]=1),1,0)</f>
        <v>1</v>
      </c>
      <c r="AN434" t="str">
        <f>IF(Table1[[#This Row],[Income]]&gt;=70000,"HIGH INCOME","LOW INCOME")</f>
        <v>LOW INCOME</v>
      </c>
      <c r="AO434" s="1" t="str">
        <f>IF(Table1[[#This Row],[MNT_TOTAL]]&gt;=900,"HIGH VALUE","LOW VALUE")</f>
        <v>LOW VALUE</v>
      </c>
      <c r="AP4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34" s="1"/>
      <c r="AR434" s="1"/>
    </row>
    <row r="435" spans="1:44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65</v>
      </c>
      <c r="X435">
        <v>2582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835</v>
      </c>
      <c r="AJ435">
        <v>802</v>
      </c>
      <c r="AK435">
        <v>0</v>
      </c>
      <c r="AL435">
        <f t="shared" si="6"/>
        <v>868</v>
      </c>
      <c r="AM435">
        <f>IF(OR(Table1[[#This Row],[marital_Married]]=1,Table1[[#This Row],[marital_Together]]=1),1,0)</f>
        <v>0</v>
      </c>
      <c r="AN435" t="str">
        <f>IF(Table1[[#This Row],[Income]]&gt;=70000,"HIGH INCOME","LOW INCOME")</f>
        <v>LOW INCOME</v>
      </c>
      <c r="AO435" s="1" t="str">
        <f>IF(Table1[[#This Row],[MNT_TOTAL]]&gt;=900,"HIGH VALUE","LOW VALUE")</f>
        <v>LOW VALUE</v>
      </c>
      <c r="AP4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5" s="1"/>
      <c r="AR435" s="1"/>
    </row>
    <row r="436" spans="1:44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51</v>
      </c>
      <c r="X436">
        <v>2657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964</v>
      </c>
      <c r="AJ436">
        <v>927</v>
      </c>
      <c r="AK436">
        <v>0</v>
      </c>
      <c r="AL436">
        <f t="shared" si="6"/>
        <v>1001</v>
      </c>
      <c r="AM436">
        <f>IF(OR(Table1[[#This Row],[marital_Married]]=1,Table1[[#This Row],[marital_Together]]=1),1,0)</f>
        <v>1</v>
      </c>
      <c r="AN436" t="str">
        <f>IF(Table1[[#This Row],[Income]]&gt;=70000,"HIGH INCOME","LOW INCOME")</f>
        <v>LOW INCOME</v>
      </c>
      <c r="AO436" s="1" t="str">
        <f>IF(Table1[[#This Row],[MNT_TOTAL]]&gt;=900,"HIGH VALUE","LOW VALUE")</f>
        <v>HIGH VALUE</v>
      </c>
      <c r="AP4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6" s="1"/>
      <c r="AR436" s="1"/>
    </row>
    <row r="437" spans="1:44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49</v>
      </c>
      <c r="X437">
        <v>2414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56</v>
      </c>
      <c r="AJ437">
        <v>53</v>
      </c>
      <c r="AK437">
        <v>0</v>
      </c>
      <c r="AL437">
        <f t="shared" si="6"/>
        <v>59</v>
      </c>
      <c r="AM437">
        <f>IF(OR(Table1[[#This Row],[marital_Married]]=1,Table1[[#This Row],[marital_Together]]=1),1,0)</f>
        <v>0</v>
      </c>
      <c r="AN437" t="str">
        <f>IF(Table1[[#This Row],[Income]]&gt;=70000,"HIGH INCOME","LOW INCOME")</f>
        <v>LOW INCOME</v>
      </c>
      <c r="AO437" s="1" t="str">
        <f>IF(Table1[[#This Row],[MNT_TOTAL]]&gt;=900,"HIGH VALUE","LOW VALUE")</f>
        <v>LOW VALUE</v>
      </c>
      <c r="AP4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7" s="1"/>
      <c r="AR437" s="1"/>
    </row>
    <row r="438" spans="1:44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40</v>
      </c>
      <c r="X438">
        <v>2369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408</v>
      </c>
      <c r="AJ438">
        <v>385</v>
      </c>
      <c r="AK438">
        <v>0</v>
      </c>
      <c r="AL438">
        <f t="shared" si="6"/>
        <v>431</v>
      </c>
      <c r="AM438">
        <f>IF(OR(Table1[[#This Row],[marital_Married]]=1,Table1[[#This Row],[marital_Together]]=1),1,0)</f>
        <v>1</v>
      </c>
      <c r="AN438" t="str">
        <f>IF(Table1[[#This Row],[Income]]&gt;=70000,"HIGH INCOME","LOW INCOME")</f>
        <v>HIGH INCOME</v>
      </c>
      <c r="AO438" s="1" t="str">
        <f>IF(Table1[[#This Row],[MNT_TOTAL]]&gt;=900,"HIGH VALUE","LOW VALUE")</f>
        <v>LOW VALUE</v>
      </c>
      <c r="AP4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8" s="1"/>
      <c r="AR438" s="1"/>
    </row>
    <row r="439" spans="1:44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44</v>
      </c>
      <c r="X439">
        <v>2819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962</v>
      </c>
      <c r="AJ439">
        <v>953</v>
      </c>
      <c r="AK439">
        <v>0</v>
      </c>
      <c r="AL439">
        <f t="shared" si="6"/>
        <v>971</v>
      </c>
      <c r="AM439">
        <f>IF(OR(Table1[[#This Row],[marital_Married]]=1,Table1[[#This Row],[marital_Together]]=1),1,0)</f>
        <v>1</v>
      </c>
      <c r="AN439" t="str">
        <f>IF(Table1[[#This Row],[Income]]&gt;=70000,"HIGH INCOME","LOW INCOME")</f>
        <v>LOW INCOME</v>
      </c>
      <c r="AO439" s="1" t="str">
        <f>IF(Table1[[#This Row],[MNT_TOTAL]]&gt;=900,"HIGH VALUE","LOW VALUE")</f>
        <v>HIGH VALUE</v>
      </c>
      <c r="AP4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39" s="1"/>
      <c r="AR439" s="1"/>
    </row>
    <row r="440" spans="1:44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48</v>
      </c>
      <c r="X440">
        <v>2837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306</v>
      </c>
      <c r="AJ440">
        <v>264</v>
      </c>
      <c r="AK440">
        <v>0</v>
      </c>
      <c r="AL440">
        <f t="shared" si="6"/>
        <v>348</v>
      </c>
      <c r="AM440">
        <f>IF(OR(Table1[[#This Row],[marital_Married]]=1,Table1[[#This Row],[marital_Together]]=1),1,0)</f>
        <v>1</v>
      </c>
      <c r="AN440" t="str">
        <f>IF(Table1[[#This Row],[Income]]&gt;=70000,"HIGH INCOME","LOW INCOME")</f>
        <v>LOW INCOME</v>
      </c>
      <c r="AO440" s="1" t="str">
        <f>IF(Table1[[#This Row],[MNT_TOTAL]]&gt;=900,"HIGH VALUE","LOW VALUE")</f>
        <v>LOW VALUE</v>
      </c>
      <c r="AP4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40" s="1"/>
      <c r="AR440" s="1"/>
    </row>
    <row r="441" spans="1:44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54</v>
      </c>
      <c r="X441">
        <v>2811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1995</v>
      </c>
      <c r="AJ441">
        <v>1931</v>
      </c>
      <c r="AK441">
        <v>2</v>
      </c>
      <c r="AL441">
        <f t="shared" si="6"/>
        <v>2059</v>
      </c>
      <c r="AM441">
        <f>IF(OR(Table1[[#This Row],[marital_Married]]=1,Table1[[#This Row],[marital_Together]]=1),1,0)</f>
        <v>0</v>
      </c>
      <c r="AN441" t="str">
        <f>IF(Table1[[#This Row],[Income]]&gt;=70000,"HIGH INCOME","LOW INCOME")</f>
        <v>HIGH INCOME</v>
      </c>
      <c r="AO441" s="1" t="str">
        <f>IF(Table1[[#This Row],[MNT_TOTAL]]&gt;=900,"HIGH VALUE","LOW VALUE")</f>
        <v>HIGH VALUE</v>
      </c>
      <c r="AP4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41" s="1"/>
      <c r="AR441" s="1"/>
    </row>
    <row r="442" spans="1:44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36</v>
      </c>
      <c r="X442">
        <v>2613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219</v>
      </c>
      <c r="AJ442">
        <v>173</v>
      </c>
      <c r="AK442">
        <v>1</v>
      </c>
      <c r="AL442">
        <f t="shared" si="6"/>
        <v>265</v>
      </c>
      <c r="AM442">
        <f>IF(OR(Table1[[#This Row],[marital_Married]]=1,Table1[[#This Row],[marital_Together]]=1),1,0)</f>
        <v>1</v>
      </c>
      <c r="AN442" t="str">
        <f>IF(Table1[[#This Row],[Income]]&gt;=70000,"HIGH INCOME","LOW INCOME")</f>
        <v>LOW INCOME</v>
      </c>
      <c r="AO442" s="1" t="str">
        <f>IF(Table1[[#This Row],[MNT_TOTAL]]&gt;=900,"HIGH VALUE","LOW VALUE")</f>
        <v>LOW VALUE</v>
      </c>
      <c r="AP4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42" s="1"/>
      <c r="AR442" s="1"/>
    </row>
    <row r="443" spans="1:44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68</v>
      </c>
      <c r="X443">
        <v>2194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265</v>
      </c>
      <c r="AJ443">
        <v>260</v>
      </c>
      <c r="AK443">
        <v>0</v>
      </c>
      <c r="AL443">
        <f t="shared" si="6"/>
        <v>270</v>
      </c>
      <c r="AM443">
        <f>IF(OR(Table1[[#This Row],[marital_Married]]=1,Table1[[#This Row],[marital_Together]]=1),1,0)</f>
        <v>1</v>
      </c>
      <c r="AN443" t="str">
        <f>IF(Table1[[#This Row],[Income]]&gt;=70000,"HIGH INCOME","LOW INCOME")</f>
        <v>LOW INCOME</v>
      </c>
      <c r="AO443" s="1" t="str">
        <f>IF(Table1[[#This Row],[MNT_TOTAL]]&gt;=900,"HIGH VALUE","LOW VALUE")</f>
        <v>LOW VALUE</v>
      </c>
      <c r="AP4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43" s="1"/>
      <c r="AR443" s="1"/>
    </row>
    <row r="444" spans="1:44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38</v>
      </c>
      <c r="X444">
        <v>2801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1257</v>
      </c>
      <c r="AJ444">
        <v>1225</v>
      </c>
      <c r="AK444">
        <v>0</v>
      </c>
      <c r="AL444">
        <f t="shared" si="6"/>
        <v>1289</v>
      </c>
      <c r="AM444">
        <f>IF(OR(Table1[[#This Row],[marital_Married]]=1,Table1[[#This Row],[marital_Together]]=1),1,0)</f>
        <v>1</v>
      </c>
      <c r="AN444" t="str">
        <f>IF(Table1[[#This Row],[Income]]&gt;=70000,"HIGH INCOME","LOW INCOME")</f>
        <v>LOW INCOME</v>
      </c>
      <c r="AO444" s="1" t="str">
        <f>IF(Table1[[#This Row],[MNT_TOTAL]]&gt;=900,"HIGH VALUE","LOW VALUE")</f>
        <v>HIGH VALUE</v>
      </c>
      <c r="AP4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44" s="1"/>
      <c r="AR444" s="1"/>
    </row>
    <row r="445" spans="1:44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56</v>
      </c>
      <c r="X445">
        <v>2338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827</v>
      </c>
      <c r="AJ445">
        <v>761</v>
      </c>
      <c r="AK445">
        <v>1</v>
      </c>
      <c r="AL445">
        <f t="shared" si="6"/>
        <v>893</v>
      </c>
      <c r="AM445">
        <f>IF(OR(Table1[[#This Row],[marital_Married]]=1,Table1[[#This Row],[marital_Together]]=1),1,0)</f>
        <v>1</v>
      </c>
      <c r="AN445" t="str">
        <f>IF(Table1[[#This Row],[Income]]&gt;=70000,"HIGH INCOME","LOW INCOME")</f>
        <v>LOW INCOME</v>
      </c>
      <c r="AO445" s="1" t="str">
        <f>IF(Table1[[#This Row],[MNT_TOTAL]]&gt;=900,"HIGH VALUE","LOW VALUE")</f>
        <v>LOW VALUE</v>
      </c>
      <c r="AP4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45" s="1"/>
      <c r="AR445" s="1"/>
    </row>
    <row r="446" spans="1:44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71</v>
      </c>
      <c r="X446">
        <v>2439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804</v>
      </c>
      <c r="AJ446">
        <v>682</v>
      </c>
      <c r="AK446">
        <v>0</v>
      </c>
      <c r="AL446">
        <f t="shared" si="6"/>
        <v>926</v>
      </c>
      <c r="AM446">
        <f>IF(OR(Table1[[#This Row],[marital_Married]]=1,Table1[[#This Row],[marital_Together]]=1),1,0)</f>
        <v>0</v>
      </c>
      <c r="AN446" t="str">
        <f>IF(Table1[[#This Row],[Income]]&gt;=70000,"HIGH INCOME","LOW INCOME")</f>
        <v>HIGH INCOME</v>
      </c>
      <c r="AO446" s="1" t="str">
        <f>IF(Table1[[#This Row],[MNT_TOTAL]]&gt;=900,"HIGH VALUE","LOW VALUE")</f>
        <v>HIGH VALUE</v>
      </c>
      <c r="AP4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46" s="1"/>
      <c r="AR446" s="1"/>
    </row>
    <row r="447" spans="1:44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62</v>
      </c>
      <c r="X447">
        <v>2311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121</v>
      </c>
      <c r="AJ447">
        <v>107</v>
      </c>
      <c r="AK447">
        <v>0</v>
      </c>
      <c r="AL447">
        <f t="shared" si="6"/>
        <v>135</v>
      </c>
      <c r="AM447">
        <f>IF(OR(Table1[[#This Row],[marital_Married]]=1,Table1[[#This Row],[marital_Together]]=1),1,0)</f>
        <v>0</v>
      </c>
      <c r="AN447" t="str">
        <f>IF(Table1[[#This Row],[Income]]&gt;=70000,"HIGH INCOME","LOW INCOME")</f>
        <v>LOW INCOME</v>
      </c>
      <c r="AO447" s="1" t="str">
        <f>IF(Table1[[#This Row],[MNT_TOTAL]]&gt;=900,"HIGH VALUE","LOW VALUE")</f>
        <v>LOW VALUE</v>
      </c>
      <c r="AP4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47" s="1"/>
      <c r="AR447" s="1"/>
    </row>
    <row r="448" spans="1:44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57</v>
      </c>
      <c r="X448">
        <v>2162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1254</v>
      </c>
      <c r="AJ448">
        <v>1013</v>
      </c>
      <c r="AK448">
        <v>1</v>
      </c>
      <c r="AL448">
        <f t="shared" si="6"/>
        <v>1495</v>
      </c>
      <c r="AM448">
        <f>IF(OR(Table1[[#This Row],[marital_Married]]=1,Table1[[#This Row],[marital_Together]]=1),1,0)</f>
        <v>1</v>
      </c>
      <c r="AN448" t="str">
        <f>IF(Table1[[#This Row],[Income]]&gt;=70000,"HIGH INCOME","LOW INCOME")</f>
        <v>HIGH INCOME</v>
      </c>
      <c r="AO448" s="1" t="str">
        <f>IF(Table1[[#This Row],[MNT_TOTAL]]&gt;=900,"HIGH VALUE","LOW VALUE")</f>
        <v>HIGH VALUE</v>
      </c>
      <c r="AP4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48" s="1"/>
      <c r="AR448" s="1"/>
    </row>
    <row r="449" spans="1:44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45</v>
      </c>
      <c r="X449">
        <v>2284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83</v>
      </c>
      <c r="AJ449">
        <v>46</v>
      </c>
      <c r="AK449">
        <v>0</v>
      </c>
      <c r="AL449">
        <f t="shared" si="6"/>
        <v>120</v>
      </c>
      <c r="AM449">
        <f>IF(OR(Table1[[#This Row],[marital_Married]]=1,Table1[[#This Row],[marital_Together]]=1),1,0)</f>
        <v>1</v>
      </c>
      <c r="AN449" t="str">
        <f>IF(Table1[[#This Row],[Income]]&gt;=70000,"HIGH INCOME","LOW INCOME")</f>
        <v>LOW INCOME</v>
      </c>
      <c r="AO449" s="1" t="str">
        <f>IF(Table1[[#This Row],[MNT_TOTAL]]&gt;=900,"HIGH VALUE","LOW VALUE")</f>
        <v>LOW VALUE</v>
      </c>
      <c r="AP4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49" s="1"/>
      <c r="AR449" s="1"/>
    </row>
    <row r="450" spans="1:44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51</v>
      </c>
      <c r="X450">
        <v>2277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1288</v>
      </c>
      <c r="AJ450">
        <v>1288</v>
      </c>
      <c r="AK450">
        <v>0</v>
      </c>
      <c r="AL450">
        <f t="shared" ref="AL450:AL513" si="7">SUM(E450:J450)</f>
        <v>1288</v>
      </c>
      <c r="AM450">
        <f>IF(OR(Table1[[#This Row],[marital_Married]]=1,Table1[[#This Row],[marital_Together]]=1),1,0)</f>
        <v>0</v>
      </c>
      <c r="AN450" t="str">
        <f>IF(Table1[[#This Row],[Income]]&gt;=70000,"HIGH INCOME","LOW INCOME")</f>
        <v>LOW INCOME</v>
      </c>
      <c r="AO450" s="1" t="str">
        <f>IF(Table1[[#This Row],[MNT_TOTAL]]&gt;=900,"HIGH VALUE","LOW VALUE")</f>
        <v>HIGH VALUE</v>
      </c>
      <c r="AP4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50" s="1"/>
      <c r="AR450" s="1"/>
    </row>
    <row r="451" spans="1:44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65</v>
      </c>
      <c r="X451">
        <v>2591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1726</v>
      </c>
      <c r="AJ451">
        <v>1709</v>
      </c>
      <c r="AK451">
        <v>2</v>
      </c>
      <c r="AL451">
        <f t="shared" si="7"/>
        <v>1743</v>
      </c>
      <c r="AM451">
        <f>IF(OR(Table1[[#This Row],[marital_Married]]=1,Table1[[#This Row],[marital_Together]]=1),1,0)</f>
        <v>1</v>
      </c>
      <c r="AN451" t="str">
        <f>IF(Table1[[#This Row],[Income]]&gt;=70000,"HIGH INCOME","LOW INCOME")</f>
        <v>HIGH INCOME</v>
      </c>
      <c r="AO451" s="1" t="str">
        <f>IF(Table1[[#This Row],[MNT_TOTAL]]&gt;=900,"HIGH VALUE","LOW VALUE")</f>
        <v>HIGH VALUE</v>
      </c>
      <c r="AP4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51" s="1"/>
      <c r="AR451" s="1"/>
    </row>
    <row r="452" spans="1:44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50</v>
      </c>
      <c r="X452">
        <v>2765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12</v>
      </c>
      <c r="AJ452">
        <v>9</v>
      </c>
      <c r="AK452">
        <v>0</v>
      </c>
      <c r="AL452">
        <f t="shared" si="7"/>
        <v>15</v>
      </c>
      <c r="AM452">
        <f>IF(OR(Table1[[#This Row],[marital_Married]]=1,Table1[[#This Row],[marital_Together]]=1),1,0)</f>
        <v>0</v>
      </c>
      <c r="AN452" t="str">
        <f>IF(Table1[[#This Row],[Income]]&gt;=70000,"HIGH INCOME","LOW INCOME")</f>
        <v>LOW INCOME</v>
      </c>
      <c r="AO452" s="1" t="str">
        <f>IF(Table1[[#This Row],[MNT_TOTAL]]&gt;=900,"HIGH VALUE","LOW VALUE")</f>
        <v>LOW VALUE</v>
      </c>
      <c r="AP4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52" s="1"/>
      <c r="AR452" s="1"/>
    </row>
    <row r="453" spans="1:44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69</v>
      </c>
      <c r="X453">
        <v>2274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537</v>
      </c>
      <c r="AJ453">
        <v>532</v>
      </c>
      <c r="AK453">
        <v>0</v>
      </c>
      <c r="AL453">
        <f t="shared" si="7"/>
        <v>542</v>
      </c>
      <c r="AM453">
        <f>IF(OR(Table1[[#This Row],[marital_Married]]=1,Table1[[#This Row],[marital_Together]]=1),1,0)</f>
        <v>1</v>
      </c>
      <c r="AN453" t="str">
        <f>IF(Table1[[#This Row],[Income]]&gt;=70000,"HIGH INCOME","LOW INCOME")</f>
        <v>LOW INCOME</v>
      </c>
      <c r="AO453" s="1" t="str">
        <f>IF(Table1[[#This Row],[MNT_TOTAL]]&gt;=900,"HIGH VALUE","LOW VALUE")</f>
        <v>LOW VALUE</v>
      </c>
      <c r="AP4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53" s="1"/>
      <c r="AR453" s="1"/>
    </row>
    <row r="454" spans="1:44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49</v>
      </c>
      <c r="X454">
        <v>2842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832</v>
      </c>
      <c r="AJ454">
        <v>774</v>
      </c>
      <c r="AK454">
        <v>0</v>
      </c>
      <c r="AL454">
        <f t="shared" si="7"/>
        <v>890</v>
      </c>
      <c r="AM454">
        <f>IF(OR(Table1[[#This Row],[marital_Married]]=1,Table1[[#This Row],[marital_Together]]=1),1,0)</f>
        <v>1</v>
      </c>
      <c r="AN454" t="str">
        <f>IF(Table1[[#This Row],[Income]]&gt;=70000,"HIGH INCOME","LOW INCOME")</f>
        <v>LOW INCOME</v>
      </c>
      <c r="AO454" s="1" t="str">
        <f>IF(Table1[[#This Row],[MNT_TOTAL]]&gt;=900,"HIGH VALUE","LOW VALUE")</f>
        <v>LOW VALUE</v>
      </c>
      <c r="AP4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54" s="1"/>
      <c r="AR454" s="1"/>
    </row>
    <row r="455" spans="1:44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45</v>
      </c>
      <c r="X455">
        <v>2618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1299</v>
      </c>
      <c r="AJ455">
        <v>1210</v>
      </c>
      <c r="AK455">
        <v>0</v>
      </c>
      <c r="AL455">
        <f t="shared" si="7"/>
        <v>1388</v>
      </c>
      <c r="AM455">
        <f>IF(OR(Table1[[#This Row],[marital_Married]]=1,Table1[[#This Row],[marital_Together]]=1),1,0)</f>
        <v>1</v>
      </c>
      <c r="AN455" t="str">
        <f>IF(Table1[[#This Row],[Income]]&gt;=70000,"HIGH INCOME","LOW INCOME")</f>
        <v>LOW INCOME</v>
      </c>
      <c r="AO455" s="1" t="str">
        <f>IF(Table1[[#This Row],[MNT_TOTAL]]&gt;=900,"HIGH VALUE","LOW VALUE")</f>
        <v>HIGH VALUE</v>
      </c>
      <c r="AP4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55" s="1"/>
      <c r="AR455" s="1"/>
    </row>
    <row r="456" spans="1:44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40</v>
      </c>
      <c r="X456">
        <v>2421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14</v>
      </c>
      <c r="AJ456">
        <v>11</v>
      </c>
      <c r="AK456">
        <v>0</v>
      </c>
      <c r="AL456">
        <f t="shared" si="7"/>
        <v>17</v>
      </c>
      <c r="AM456">
        <f>IF(OR(Table1[[#This Row],[marital_Married]]=1,Table1[[#This Row],[marital_Together]]=1),1,0)</f>
        <v>1</v>
      </c>
      <c r="AN456" t="str">
        <f>IF(Table1[[#This Row],[Income]]&gt;=70000,"HIGH INCOME","LOW INCOME")</f>
        <v>LOW INCOME</v>
      </c>
      <c r="AO456" s="1" t="str">
        <f>IF(Table1[[#This Row],[MNT_TOTAL]]&gt;=900,"HIGH VALUE","LOW VALUE")</f>
        <v>LOW VALUE</v>
      </c>
      <c r="AP4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56" s="1"/>
      <c r="AR456" s="1"/>
    </row>
    <row r="457" spans="1:44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39</v>
      </c>
      <c r="X457">
        <v>2853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898</v>
      </c>
      <c r="AJ457">
        <v>890</v>
      </c>
      <c r="AK457">
        <v>1</v>
      </c>
      <c r="AL457">
        <f t="shared" si="7"/>
        <v>906</v>
      </c>
      <c r="AM457">
        <f>IF(OR(Table1[[#This Row],[marital_Married]]=1,Table1[[#This Row],[marital_Together]]=1),1,0)</f>
        <v>1</v>
      </c>
      <c r="AN457" t="str">
        <f>IF(Table1[[#This Row],[Income]]&gt;=70000,"HIGH INCOME","LOW INCOME")</f>
        <v>LOW INCOME</v>
      </c>
      <c r="AO457" s="1" t="str">
        <f>IF(Table1[[#This Row],[MNT_TOTAL]]&gt;=900,"HIGH VALUE","LOW VALUE")</f>
        <v>HIGH VALUE</v>
      </c>
      <c r="AP4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57" s="1"/>
      <c r="AR457" s="1"/>
    </row>
    <row r="458" spans="1:44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42</v>
      </c>
      <c r="X458">
        <v>2702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40</v>
      </c>
      <c r="AJ458">
        <v>36</v>
      </c>
      <c r="AK458">
        <v>0</v>
      </c>
      <c r="AL458">
        <f t="shared" si="7"/>
        <v>44</v>
      </c>
      <c r="AM458">
        <f>IF(OR(Table1[[#This Row],[marital_Married]]=1,Table1[[#This Row],[marital_Together]]=1),1,0)</f>
        <v>1</v>
      </c>
      <c r="AN458" t="str">
        <f>IF(Table1[[#This Row],[Income]]&gt;=70000,"HIGH INCOME","LOW INCOME")</f>
        <v>LOW INCOME</v>
      </c>
      <c r="AO458" s="1" t="str">
        <f>IF(Table1[[#This Row],[MNT_TOTAL]]&gt;=900,"HIGH VALUE","LOW VALUE")</f>
        <v>LOW VALUE</v>
      </c>
      <c r="AP4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58" s="1"/>
      <c r="AR458" s="1"/>
    </row>
    <row r="459" spans="1:44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32</v>
      </c>
      <c r="X459">
        <v>2201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16</v>
      </c>
      <c r="AJ459">
        <v>7</v>
      </c>
      <c r="AK459">
        <v>0</v>
      </c>
      <c r="AL459">
        <f t="shared" si="7"/>
        <v>25</v>
      </c>
      <c r="AM459">
        <f>IF(OR(Table1[[#This Row],[marital_Married]]=1,Table1[[#This Row],[marital_Together]]=1),1,0)</f>
        <v>0</v>
      </c>
      <c r="AN459" t="str">
        <f>IF(Table1[[#This Row],[Income]]&gt;=70000,"HIGH INCOME","LOW INCOME")</f>
        <v>LOW INCOME</v>
      </c>
      <c r="AO459" s="1" t="str">
        <f>IF(Table1[[#This Row],[MNT_TOTAL]]&gt;=900,"HIGH VALUE","LOW VALUE")</f>
        <v>LOW VALUE</v>
      </c>
      <c r="AP4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59" s="1"/>
      <c r="AR459" s="1"/>
    </row>
    <row r="460" spans="1:44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64</v>
      </c>
      <c r="X460">
        <v>2655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856</v>
      </c>
      <c r="AJ460">
        <v>739</v>
      </c>
      <c r="AK460">
        <v>0</v>
      </c>
      <c r="AL460">
        <f t="shared" si="7"/>
        <v>973</v>
      </c>
      <c r="AM460">
        <f>IF(OR(Table1[[#This Row],[marital_Married]]=1,Table1[[#This Row],[marital_Together]]=1),1,0)</f>
        <v>1</v>
      </c>
      <c r="AN460" t="str">
        <f>IF(Table1[[#This Row],[Income]]&gt;=70000,"HIGH INCOME","LOW INCOME")</f>
        <v>LOW INCOME</v>
      </c>
      <c r="AO460" s="1" t="str">
        <f>IF(Table1[[#This Row],[MNT_TOTAL]]&gt;=900,"HIGH VALUE","LOW VALUE")</f>
        <v>HIGH VALUE</v>
      </c>
      <c r="AP4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60" s="1"/>
      <c r="AR460" s="1"/>
    </row>
    <row r="461" spans="1:44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48</v>
      </c>
      <c r="X461">
        <v>2210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29</v>
      </c>
      <c r="AJ461">
        <v>27</v>
      </c>
      <c r="AK461">
        <v>0</v>
      </c>
      <c r="AL461">
        <f t="shared" si="7"/>
        <v>31</v>
      </c>
      <c r="AM461">
        <f>IF(OR(Table1[[#This Row],[marital_Married]]=1,Table1[[#This Row],[marital_Together]]=1),1,0)</f>
        <v>0</v>
      </c>
      <c r="AN461" t="str">
        <f>IF(Table1[[#This Row],[Income]]&gt;=70000,"HIGH INCOME","LOW INCOME")</f>
        <v>LOW INCOME</v>
      </c>
      <c r="AO461" s="1" t="str">
        <f>IF(Table1[[#This Row],[MNT_TOTAL]]&gt;=900,"HIGH VALUE","LOW VALUE")</f>
        <v>LOW VALUE</v>
      </c>
      <c r="AP4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61" s="1"/>
      <c r="AR461" s="1"/>
    </row>
    <row r="462" spans="1:44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43</v>
      </c>
      <c r="X462">
        <v>2196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494</v>
      </c>
      <c r="AJ462">
        <v>470</v>
      </c>
      <c r="AK462">
        <v>0</v>
      </c>
      <c r="AL462">
        <f t="shared" si="7"/>
        <v>518</v>
      </c>
      <c r="AM462">
        <f>IF(OR(Table1[[#This Row],[marital_Married]]=1,Table1[[#This Row],[marital_Together]]=1),1,0)</f>
        <v>1</v>
      </c>
      <c r="AN462" t="str">
        <f>IF(Table1[[#This Row],[Income]]&gt;=70000,"HIGH INCOME","LOW INCOME")</f>
        <v>LOW INCOME</v>
      </c>
      <c r="AO462" s="1" t="str">
        <f>IF(Table1[[#This Row],[MNT_TOTAL]]&gt;=900,"HIGH VALUE","LOW VALUE")</f>
        <v>LOW VALUE</v>
      </c>
      <c r="AP4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2" s="1"/>
      <c r="AR462" s="1"/>
    </row>
    <row r="463" spans="1:44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48</v>
      </c>
      <c r="X463">
        <v>2773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438</v>
      </c>
      <c r="AJ463">
        <v>346</v>
      </c>
      <c r="AK463">
        <v>0</v>
      </c>
      <c r="AL463">
        <f t="shared" si="7"/>
        <v>530</v>
      </c>
      <c r="AM463">
        <f>IF(OR(Table1[[#This Row],[marital_Married]]=1,Table1[[#This Row],[marital_Together]]=1),1,0)</f>
        <v>1</v>
      </c>
      <c r="AN463" t="str">
        <f>IF(Table1[[#This Row],[Income]]&gt;=70000,"HIGH INCOME","LOW INCOME")</f>
        <v>LOW INCOME</v>
      </c>
      <c r="AO463" s="1" t="str">
        <f>IF(Table1[[#This Row],[MNT_TOTAL]]&gt;=900,"HIGH VALUE","LOW VALUE")</f>
        <v>LOW VALUE</v>
      </c>
      <c r="AP4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3" s="1"/>
      <c r="AR463" s="1"/>
    </row>
    <row r="464" spans="1:44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43</v>
      </c>
      <c r="X464">
        <v>2765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387</v>
      </c>
      <c r="AJ464">
        <v>268</v>
      </c>
      <c r="AK464">
        <v>0</v>
      </c>
      <c r="AL464">
        <f t="shared" si="7"/>
        <v>506</v>
      </c>
      <c r="AM464">
        <f>IF(OR(Table1[[#This Row],[marital_Married]]=1,Table1[[#This Row],[marital_Together]]=1),1,0)</f>
        <v>1</v>
      </c>
      <c r="AN464" t="str">
        <f>IF(Table1[[#This Row],[Income]]&gt;=70000,"HIGH INCOME","LOW INCOME")</f>
        <v>LOW INCOME</v>
      </c>
      <c r="AO464" s="1" t="str">
        <f>IF(Table1[[#This Row],[MNT_TOTAL]]&gt;=900,"HIGH VALUE","LOW VALUE")</f>
        <v>LOW VALUE</v>
      </c>
      <c r="AP4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4" s="1"/>
      <c r="AR464" s="1"/>
    </row>
    <row r="465" spans="1:44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47</v>
      </c>
      <c r="X465">
        <v>2340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46</v>
      </c>
      <c r="AJ465">
        <v>22</v>
      </c>
      <c r="AK465">
        <v>0</v>
      </c>
      <c r="AL465">
        <f t="shared" si="7"/>
        <v>70</v>
      </c>
      <c r="AM465">
        <f>IF(OR(Table1[[#This Row],[marital_Married]]=1,Table1[[#This Row],[marital_Together]]=1),1,0)</f>
        <v>1</v>
      </c>
      <c r="AN465" t="str">
        <f>IF(Table1[[#This Row],[Income]]&gt;=70000,"HIGH INCOME","LOW INCOME")</f>
        <v>LOW INCOME</v>
      </c>
      <c r="AO465" s="1" t="str">
        <f>IF(Table1[[#This Row],[MNT_TOTAL]]&gt;=900,"HIGH VALUE","LOW VALUE")</f>
        <v>LOW VALUE</v>
      </c>
      <c r="AP4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5" s="1"/>
      <c r="AR465" s="1"/>
    </row>
    <row r="466" spans="1:44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48</v>
      </c>
      <c r="X466">
        <v>2481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54</v>
      </c>
      <c r="AJ466">
        <v>54</v>
      </c>
      <c r="AK466">
        <v>0</v>
      </c>
      <c r="AL466">
        <f t="shared" si="7"/>
        <v>54</v>
      </c>
      <c r="AM466">
        <f>IF(OR(Table1[[#This Row],[marital_Married]]=1,Table1[[#This Row],[marital_Together]]=1),1,0)</f>
        <v>0</v>
      </c>
      <c r="AN466" t="str">
        <f>IF(Table1[[#This Row],[Income]]&gt;=70000,"HIGH INCOME","LOW INCOME")</f>
        <v>LOW INCOME</v>
      </c>
      <c r="AO466" s="1" t="str">
        <f>IF(Table1[[#This Row],[MNT_TOTAL]]&gt;=900,"HIGH VALUE","LOW VALUE")</f>
        <v>LOW VALUE</v>
      </c>
      <c r="AP4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66" s="1"/>
      <c r="AR466" s="1"/>
    </row>
    <row r="467" spans="1:44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46</v>
      </c>
      <c r="X467">
        <v>2838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224</v>
      </c>
      <c r="AJ467">
        <v>152</v>
      </c>
      <c r="AK467">
        <v>1</v>
      </c>
      <c r="AL467">
        <f t="shared" si="7"/>
        <v>296</v>
      </c>
      <c r="AM467">
        <f>IF(OR(Table1[[#This Row],[marital_Married]]=1,Table1[[#This Row],[marital_Together]]=1),1,0)</f>
        <v>0</v>
      </c>
      <c r="AN467" t="str">
        <f>IF(Table1[[#This Row],[Income]]&gt;=70000,"HIGH INCOME","LOW INCOME")</f>
        <v>LOW INCOME</v>
      </c>
      <c r="AO467" s="1" t="str">
        <f>IF(Table1[[#This Row],[MNT_TOTAL]]&gt;=900,"HIGH VALUE","LOW VALUE")</f>
        <v>LOW VALUE</v>
      </c>
      <c r="AP4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67" s="1"/>
      <c r="AR467" s="1"/>
    </row>
    <row r="468" spans="1:44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45</v>
      </c>
      <c r="X468">
        <v>2401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261</v>
      </c>
      <c r="AJ468">
        <v>256</v>
      </c>
      <c r="AK468">
        <v>0</v>
      </c>
      <c r="AL468">
        <f t="shared" si="7"/>
        <v>266</v>
      </c>
      <c r="AM468">
        <f>IF(OR(Table1[[#This Row],[marital_Married]]=1,Table1[[#This Row],[marital_Together]]=1),1,0)</f>
        <v>1</v>
      </c>
      <c r="AN468" t="str">
        <f>IF(Table1[[#This Row],[Income]]&gt;=70000,"HIGH INCOME","LOW INCOME")</f>
        <v>LOW INCOME</v>
      </c>
      <c r="AO468" s="1" t="str">
        <f>IF(Table1[[#This Row],[MNT_TOTAL]]&gt;=900,"HIGH VALUE","LOW VALUE")</f>
        <v>LOW VALUE</v>
      </c>
      <c r="AP4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68" s="1"/>
      <c r="AR468" s="1"/>
    </row>
    <row r="469" spans="1:44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60</v>
      </c>
      <c r="X469">
        <v>2786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729</v>
      </c>
      <c r="AJ469">
        <v>711</v>
      </c>
      <c r="AK469">
        <v>0</v>
      </c>
      <c r="AL469">
        <f t="shared" si="7"/>
        <v>747</v>
      </c>
      <c r="AM469">
        <f>IF(OR(Table1[[#This Row],[marital_Married]]=1,Table1[[#This Row],[marital_Together]]=1),1,0)</f>
        <v>1</v>
      </c>
      <c r="AN469" t="str">
        <f>IF(Table1[[#This Row],[Income]]&gt;=70000,"HIGH INCOME","LOW INCOME")</f>
        <v>HIGH INCOME</v>
      </c>
      <c r="AO469" s="1" t="str">
        <f>IF(Table1[[#This Row],[MNT_TOTAL]]&gt;=900,"HIGH VALUE","LOW VALUE")</f>
        <v>LOW VALUE</v>
      </c>
      <c r="AP4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69" s="1"/>
      <c r="AR469" s="1"/>
    </row>
    <row r="470" spans="1:44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56</v>
      </c>
      <c r="X470">
        <v>2812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877</v>
      </c>
      <c r="AJ470">
        <v>859</v>
      </c>
      <c r="AK470">
        <v>0</v>
      </c>
      <c r="AL470">
        <f t="shared" si="7"/>
        <v>895</v>
      </c>
      <c r="AM470">
        <f>IF(OR(Table1[[#This Row],[marital_Married]]=1,Table1[[#This Row],[marital_Together]]=1),1,0)</f>
        <v>0</v>
      </c>
      <c r="AN470" t="str">
        <f>IF(Table1[[#This Row],[Income]]&gt;=70000,"HIGH INCOME","LOW INCOME")</f>
        <v>HIGH INCOME</v>
      </c>
      <c r="AO470" s="1" t="str">
        <f>IF(Table1[[#This Row],[MNT_TOTAL]]&gt;=900,"HIGH VALUE","LOW VALUE")</f>
        <v>LOW VALUE</v>
      </c>
      <c r="AP4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0" s="1"/>
      <c r="AR470" s="1"/>
    </row>
    <row r="471" spans="1:44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44</v>
      </c>
      <c r="X471">
        <v>2386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1003</v>
      </c>
      <c r="AJ471">
        <v>953</v>
      </c>
      <c r="AK471">
        <v>0</v>
      </c>
      <c r="AL471">
        <f t="shared" si="7"/>
        <v>1053</v>
      </c>
      <c r="AM471">
        <f>IF(OR(Table1[[#This Row],[marital_Married]]=1,Table1[[#This Row],[marital_Together]]=1),1,0)</f>
        <v>1</v>
      </c>
      <c r="AN471" t="str">
        <f>IF(Table1[[#This Row],[Income]]&gt;=70000,"HIGH INCOME","LOW INCOME")</f>
        <v>LOW INCOME</v>
      </c>
      <c r="AO471" s="1" t="str">
        <f>IF(Table1[[#This Row],[MNT_TOTAL]]&gt;=900,"HIGH VALUE","LOW VALUE")</f>
        <v>HIGH VALUE</v>
      </c>
      <c r="AP4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1" s="1"/>
      <c r="AR471" s="1"/>
    </row>
    <row r="472" spans="1:44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46</v>
      </c>
      <c r="X472">
        <v>2527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645</v>
      </c>
      <c r="AJ472">
        <v>555</v>
      </c>
      <c r="AK472">
        <v>0</v>
      </c>
      <c r="AL472">
        <f t="shared" si="7"/>
        <v>735</v>
      </c>
      <c r="AM472">
        <f>IF(OR(Table1[[#This Row],[marital_Married]]=1,Table1[[#This Row],[marital_Together]]=1),1,0)</f>
        <v>1</v>
      </c>
      <c r="AN472" t="str">
        <f>IF(Table1[[#This Row],[Income]]&gt;=70000,"HIGH INCOME","LOW INCOME")</f>
        <v>LOW INCOME</v>
      </c>
      <c r="AO472" s="1" t="str">
        <f>IF(Table1[[#This Row],[MNT_TOTAL]]&gt;=900,"HIGH VALUE","LOW VALUE")</f>
        <v>LOW VALUE</v>
      </c>
      <c r="AP4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72" s="1"/>
      <c r="AR472" s="1"/>
    </row>
    <row r="473" spans="1:44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51</v>
      </c>
      <c r="X473">
        <v>2313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19</v>
      </c>
      <c r="AJ473">
        <v>18</v>
      </c>
      <c r="AK473">
        <v>0</v>
      </c>
      <c r="AL473">
        <f t="shared" si="7"/>
        <v>20</v>
      </c>
      <c r="AM473">
        <f>IF(OR(Table1[[#This Row],[marital_Married]]=1,Table1[[#This Row],[marital_Together]]=1),1,0)</f>
        <v>1</v>
      </c>
      <c r="AN473" t="str">
        <f>IF(Table1[[#This Row],[Income]]&gt;=70000,"HIGH INCOME","LOW INCOME")</f>
        <v>LOW INCOME</v>
      </c>
      <c r="AO473" s="1" t="str">
        <f>IF(Table1[[#This Row],[MNT_TOTAL]]&gt;=900,"HIGH VALUE","LOW VALUE")</f>
        <v>LOW VALUE</v>
      </c>
      <c r="AP4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73" s="1"/>
      <c r="AR473" s="1"/>
    </row>
    <row r="474" spans="1:44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68</v>
      </c>
      <c r="X474">
        <v>2768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191</v>
      </c>
      <c r="AJ474">
        <v>177</v>
      </c>
      <c r="AK474">
        <v>0</v>
      </c>
      <c r="AL474">
        <f t="shared" si="7"/>
        <v>205</v>
      </c>
      <c r="AM474">
        <f>IF(OR(Table1[[#This Row],[marital_Married]]=1,Table1[[#This Row],[marital_Together]]=1),1,0)</f>
        <v>0</v>
      </c>
      <c r="AN474" t="str">
        <f>IF(Table1[[#This Row],[Income]]&gt;=70000,"HIGH INCOME","LOW INCOME")</f>
        <v>LOW INCOME</v>
      </c>
      <c r="AO474" s="1" t="str">
        <f>IF(Table1[[#This Row],[MNT_TOTAL]]&gt;=900,"HIGH VALUE","LOW VALUE")</f>
        <v>LOW VALUE</v>
      </c>
      <c r="AP4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4" s="1"/>
      <c r="AR474" s="1"/>
    </row>
    <row r="475" spans="1:44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62</v>
      </c>
      <c r="X475">
        <v>2802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1958</v>
      </c>
      <c r="AJ475">
        <v>1824</v>
      </c>
      <c r="AK475">
        <v>0</v>
      </c>
      <c r="AL475">
        <f t="shared" si="7"/>
        <v>2092</v>
      </c>
      <c r="AM475">
        <f>IF(OR(Table1[[#This Row],[marital_Married]]=1,Table1[[#This Row],[marital_Together]]=1),1,0)</f>
        <v>1</v>
      </c>
      <c r="AN475" t="str">
        <f>IF(Table1[[#This Row],[Income]]&gt;=70000,"HIGH INCOME","LOW INCOME")</f>
        <v>HIGH INCOME</v>
      </c>
      <c r="AO475" s="1" t="str">
        <f>IF(Table1[[#This Row],[MNT_TOTAL]]&gt;=900,"HIGH VALUE","LOW VALUE")</f>
        <v>HIGH VALUE</v>
      </c>
      <c r="AP4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75" s="1"/>
      <c r="AR475" s="1"/>
    </row>
    <row r="476" spans="1:44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44</v>
      </c>
      <c r="X476">
        <v>2732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295</v>
      </c>
      <c r="AJ476">
        <v>281</v>
      </c>
      <c r="AK476">
        <v>0</v>
      </c>
      <c r="AL476">
        <f t="shared" si="7"/>
        <v>309</v>
      </c>
      <c r="AM476">
        <f>IF(OR(Table1[[#This Row],[marital_Married]]=1,Table1[[#This Row],[marital_Together]]=1),1,0)</f>
        <v>0</v>
      </c>
      <c r="AN476" t="str">
        <f>IF(Table1[[#This Row],[Income]]&gt;=70000,"HIGH INCOME","LOW INCOME")</f>
        <v>LOW INCOME</v>
      </c>
      <c r="AO476" s="1" t="str">
        <f>IF(Table1[[#This Row],[MNT_TOTAL]]&gt;=900,"HIGH VALUE","LOW VALUE")</f>
        <v>LOW VALUE</v>
      </c>
      <c r="AP4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6" s="1"/>
      <c r="AR476" s="1"/>
    </row>
    <row r="477" spans="1:44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65</v>
      </c>
      <c r="X477">
        <v>2651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1682</v>
      </c>
      <c r="AJ477">
        <v>1642</v>
      </c>
      <c r="AK477">
        <v>1</v>
      </c>
      <c r="AL477">
        <f t="shared" si="7"/>
        <v>1722</v>
      </c>
      <c r="AM477">
        <f>IF(OR(Table1[[#This Row],[marital_Married]]=1,Table1[[#This Row],[marital_Together]]=1),1,0)</f>
        <v>1</v>
      </c>
      <c r="AN477" t="str">
        <f>IF(Table1[[#This Row],[Income]]&gt;=70000,"HIGH INCOME","LOW INCOME")</f>
        <v>HIGH INCOME</v>
      </c>
      <c r="AO477" s="1" t="str">
        <f>IF(Table1[[#This Row],[MNT_TOTAL]]&gt;=900,"HIGH VALUE","LOW VALUE")</f>
        <v>HIGH VALUE</v>
      </c>
      <c r="AP4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77" s="1"/>
      <c r="AR477" s="1"/>
    </row>
    <row r="478" spans="1:44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56</v>
      </c>
      <c r="X478">
        <v>2692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770</v>
      </c>
      <c r="AJ478">
        <v>640</v>
      </c>
      <c r="AK478">
        <v>0</v>
      </c>
      <c r="AL478">
        <f t="shared" si="7"/>
        <v>900</v>
      </c>
      <c r="AM478">
        <f>IF(OR(Table1[[#This Row],[marital_Married]]=1,Table1[[#This Row],[marital_Together]]=1),1,0)</f>
        <v>0</v>
      </c>
      <c r="AN478" t="str">
        <f>IF(Table1[[#This Row],[Income]]&gt;=70000,"HIGH INCOME","LOW INCOME")</f>
        <v>LOW INCOME</v>
      </c>
      <c r="AO478" s="1" t="str">
        <f>IF(Table1[[#This Row],[MNT_TOTAL]]&gt;=900,"HIGH VALUE","LOW VALUE")</f>
        <v>HIGH VALUE</v>
      </c>
      <c r="AP4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8" s="1"/>
      <c r="AR478" s="1"/>
    </row>
    <row r="479" spans="1:44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76</v>
      </c>
      <c r="X479">
        <v>2373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656</v>
      </c>
      <c r="AJ479">
        <v>630</v>
      </c>
      <c r="AK479">
        <v>1</v>
      </c>
      <c r="AL479">
        <f t="shared" si="7"/>
        <v>682</v>
      </c>
      <c r="AM479">
        <f>IF(OR(Table1[[#This Row],[marital_Married]]=1,Table1[[#This Row],[marital_Together]]=1),1,0)</f>
        <v>0</v>
      </c>
      <c r="AN479" t="str">
        <f>IF(Table1[[#This Row],[Income]]&gt;=70000,"HIGH INCOME","LOW INCOME")</f>
        <v>LOW INCOME</v>
      </c>
      <c r="AO479" s="1" t="str">
        <f>IF(Table1[[#This Row],[MNT_TOTAL]]&gt;=900,"HIGH VALUE","LOW VALUE")</f>
        <v>LOW VALUE</v>
      </c>
      <c r="AP4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79" s="1"/>
      <c r="AR479" s="1"/>
    </row>
    <row r="480" spans="1:44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58</v>
      </c>
      <c r="X480">
        <v>2601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651</v>
      </c>
      <c r="AJ480">
        <v>639</v>
      </c>
      <c r="AK480">
        <v>0</v>
      </c>
      <c r="AL480">
        <f t="shared" si="7"/>
        <v>663</v>
      </c>
      <c r="AM480">
        <f>IF(OR(Table1[[#This Row],[marital_Married]]=1,Table1[[#This Row],[marital_Together]]=1),1,0)</f>
        <v>0</v>
      </c>
      <c r="AN480" t="str">
        <f>IF(Table1[[#This Row],[Income]]&gt;=70000,"HIGH INCOME","LOW INCOME")</f>
        <v>LOW INCOME</v>
      </c>
      <c r="AO480" s="1" t="str">
        <f>IF(Table1[[#This Row],[MNT_TOTAL]]&gt;=900,"HIGH VALUE","LOW VALUE")</f>
        <v>LOW VALUE</v>
      </c>
      <c r="AP4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80" s="1"/>
      <c r="AR480" s="1"/>
    </row>
    <row r="481" spans="1:44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42</v>
      </c>
      <c r="X481">
        <v>2244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41</v>
      </c>
      <c r="AJ481">
        <v>39</v>
      </c>
      <c r="AK481">
        <v>0</v>
      </c>
      <c r="AL481">
        <f t="shared" si="7"/>
        <v>43</v>
      </c>
      <c r="AM481">
        <f>IF(OR(Table1[[#This Row],[marital_Married]]=1,Table1[[#This Row],[marital_Together]]=1),1,0)</f>
        <v>0</v>
      </c>
      <c r="AN481" t="str">
        <f>IF(Table1[[#This Row],[Income]]&gt;=70000,"HIGH INCOME","LOW INCOME")</f>
        <v>LOW INCOME</v>
      </c>
      <c r="AO481" s="1" t="str">
        <f>IF(Table1[[#This Row],[MNT_TOTAL]]&gt;=900,"HIGH VALUE","LOW VALUE")</f>
        <v>LOW VALUE</v>
      </c>
      <c r="AP4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81" s="1"/>
      <c r="AR481" s="1"/>
    </row>
    <row r="482" spans="1:44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49</v>
      </c>
      <c r="X482">
        <v>2593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1799</v>
      </c>
      <c r="AJ482">
        <v>1782</v>
      </c>
      <c r="AK482">
        <v>0</v>
      </c>
      <c r="AL482">
        <f t="shared" si="7"/>
        <v>1816</v>
      </c>
      <c r="AM482">
        <f>IF(OR(Table1[[#This Row],[marital_Married]]=1,Table1[[#This Row],[marital_Together]]=1),1,0)</f>
        <v>1</v>
      </c>
      <c r="AN482" t="str">
        <f>IF(Table1[[#This Row],[Income]]&gt;=70000,"HIGH INCOME","LOW INCOME")</f>
        <v>HIGH INCOME</v>
      </c>
      <c r="AO482" s="1" t="str">
        <f>IF(Table1[[#This Row],[MNT_TOTAL]]&gt;=900,"HIGH VALUE","LOW VALUE")</f>
        <v>HIGH VALUE</v>
      </c>
      <c r="AP4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82" s="1"/>
      <c r="AR482" s="1"/>
    </row>
    <row r="483" spans="1:44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71</v>
      </c>
      <c r="X483">
        <v>2197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976</v>
      </c>
      <c r="AJ483">
        <v>976</v>
      </c>
      <c r="AK483">
        <v>0</v>
      </c>
      <c r="AL483">
        <f t="shared" si="7"/>
        <v>976</v>
      </c>
      <c r="AM483">
        <f>IF(OR(Table1[[#This Row],[marital_Married]]=1,Table1[[#This Row],[marital_Together]]=1),1,0)</f>
        <v>1</v>
      </c>
      <c r="AN483" t="str">
        <f>IF(Table1[[#This Row],[Income]]&gt;=70000,"HIGH INCOME","LOW INCOME")</f>
        <v>LOW INCOME</v>
      </c>
      <c r="AO483" s="1" t="str">
        <f>IF(Table1[[#This Row],[MNT_TOTAL]]&gt;=900,"HIGH VALUE","LOW VALUE")</f>
        <v>HIGH VALUE</v>
      </c>
      <c r="AP4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83" s="1"/>
      <c r="AR483" s="1"/>
    </row>
    <row r="484" spans="1:44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76</v>
      </c>
      <c r="X484">
        <v>2611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725</v>
      </c>
      <c r="AJ484">
        <v>704</v>
      </c>
      <c r="AK484">
        <v>0</v>
      </c>
      <c r="AL484">
        <f t="shared" si="7"/>
        <v>746</v>
      </c>
      <c r="AM484">
        <f>IF(OR(Table1[[#This Row],[marital_Married]]=1,Table1[[#This Row],[marital_Together]]=1),1,0)</f>
        <v>1</v>
      </c>
      <c r="AN484" t="str">
        <f>IF(Table1[[#This Row],[Income]]&gt;=70000,"HIGH INCOME","LOW INCOME")</f>
        <v>LOW INCOME</v>
      </c>
      <c r="AO484" s="1" t="str">
        <f>IF(Table1[[#This Row],[MNT_TOTAL]]&gt;=900,"HIGH VALUE","LOW VALUE")</f>
        <v>LOW VALUE</v>
      </c>
      <c r="AP4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84" s="1"/>
      <c r="AR484" s="1"/>
    </row>
    <row r="485" spans="1:44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70</v>
      </c>
      <c r="X485">
        <v>2851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40</v>
      </c>
      <c r="AJ485">
        <v>16</v>
      </c>
      <c r="AK485">
        <v>0</v>
      </c>
      <c r="AL485">
        <f t="shared" si="7"/>
        <v>64</v>
      </c>
      <c r="AM485">
        <f>IF(OR(Table1[[#This Row],[marital_Married]]=1,Table1[[#This Row],[marital_Together]]=1),1,0)</f>
        <v>1</v>
      </c>
      <c r="AN485" t="str">
        <f>IF(Table1[[#This Row],[Income]]&gt;=70000,"HIGH INCOME","LOW INCOME")</f>
        <v>LOW INCOME</v>
      </c>
      <c r="AO485" s="1" t="str">
        <f>IF(Table1[[#This Row],[MNT_TOTAL]]&gt;=900,"HIGH VALUE","LOW VALUE")</f>
        <v>LOW VALUE</v>
      </c>
      <c r="AP4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85" s="1"/>
      <c r="AR485" s="1"/>
    </row>
    <row r="486" spans="1:44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59</v>
      </c>
      <c r="X486">
        <v>2385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32</v>
      </c>
      <c r="AJ486">
        <v>32</v>
      </c>
      <c r="AK486">
        <v>0</v>
      </c>
      <c r="AL486">
        <f t="shared" si="7"/>
        <v>32</v>
      </c>
      <c r="AM486">
        <f>IF(OR(Table1[[#This Row],[marital_Married]]=1,Table1[[#This Row],[marital_Together]]=1),1,0)</f>
        <v>1</v>
      </c>
      <c r="AN486" t="str">
        <f>IF(Table1[[#This Row],[Income]]&gt;=70000,"HIGH INCOME","LOW INCOME")</f>
        <v>LOW INCOME</v>
      </c>
      <c r="AO486" s="1" t="str">
        <f>IF(Table1[[#This Row],[MNT_TOTAL]]&gt;=900,"HIGH VALUE","LOW VALUE")</f>
        <v>LOW VALUE</v>
      </c>
      <c r="AP4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86" s="1"/>
      <c r="AR486" s="1"/>
    </row>
    <row r="487" spans="1:44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30</v>
      </c>
      <c r="X487">
        <v>2706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155</v>
      </c>
      <c r="AJ487">
        <v>47</v>
      </c>
      <c r="AK487">
        <v>0</v>
      </c>
      <c r="AL487">
        <f t="shared" si="7"/>
        <v>263</v>
      </c>
      <c r="AM487">
        <f>IF(OR(Table1[[#This Row],[marital_Married]]=1,Table1[[#This Row],[marital_Together]]=1),1,0)</f>
        <v>1</v>
      </c>
      <c r="AN487" t="str">
        <f>IF(Table1[[#This Row],[Income]]&gt;=70000,"HIGH INCOME","LOW INCOME")</f>
        <v>LOW INCOME</v>
      </c>
      <c r="AO487" s="1" t="str">
        <f>IF(Table1[[#This Row],[MNT_TOTAL]]&gt;=900,"HIGH VALUE","LOW VALUE")</f>
        <v>LOW VALUE</v>
      </c>
      <c r="AP4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87" s="1"/>
      <c r="AR487" s="1"/>
    </row>
    <row r="488" spans="1:44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35</v>
      </c>
      <c r="X488">
        <v>2833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1292</v>
      </c>
      <c r="AJ488">
        <v>1139</v>
      </c>
      <c r="AK488">
        <v>0</v>
      </c>
      <c r="AL488">
        <f t="shared" si="7"/>
        <v>1445</v>
      </c>
      <c r="AM488">
        <f>IF(OR(Table1[[#This Row],[marital_Married]]=1,Table1[[#This Row],[marital_Together]]=1),1,0)</f>
        <v>1</v>
      </c>
      <c r="AN488" t="str">
        <f>IF(Table1[[#This Row],[Income]]&gt;=70000,"HIGH INCOME","LOW INCOME")</f>
        <v>LOW INCOME</v>
      </c>
      <c r="AO488" s="1" t="str">
        <f>IF(Table1[[#This Row],[MNT_TOTAL]]&gt;=900,"HIGH VALUE","LOW VALUE")</f>
        <v>HIGH VALUE</v>
      </c>
      <c r="AP4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88" s="1"/>
      <c r="AR488" s="1"/>
    </row>
    <row r="489" spans="1:44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64</v>
      </c>
      <c r="X489">
        <v>2532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40</v>
      </c>
      <c r="AJ489">
        <v>34</v>
      </c>
      <c r="AK489">
        <v>0</v>
      </c>
      <c r="AL489">
        <f t="shared" si="7"/>
        <v>46</v>
      </c>
      <c r="AM489">
        <f>IF(OR(Table1[[#This Row],[marital_Married]]=1,Table1[[#This Row],[marital_Together]]=1),1,0)</f>
        <v>1</v>
      </c>
      <c r="AN489" t="str">
        <f>IF(Table1[[#This Row],[Income]]&gt;=70000,"HIGH INCOME","LOW INCOME")</f>
        <v>LOW INCOME</v>
      </c>
      <c r="AO489" s="1" t="str">
        <f>IF(Table1[[#This Row],[MNT_TOTAL]]&gt;=900,"HIGH VALUE","LOW VALUE")</f>
        <v>LOW VALUE</v>
      </c>
      <c r="AP4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89" s="1"/>
      <c r="AR489" s="1"/>
    </row>
    <row r="490" spans="1:44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67</v>
      </c>
      <c r="X490">
        <v>2758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1102</v>
      </c>
      <c r="AJ490">
        <v>994</v>
      </c>
      <c r="AK490">
        <v>0</v>
      </c>
      <c r="AL490">
        <f t="shared" si="7"/>
        <v>1210</v>
      </c>
      <c r="AM490">
        <f>IF(OR(Table1[[#This Row],[marital_Married]]=1,Table1[[#This Row],[marital_Together]]=1),1,0)</f>
        <v>0</v>
      </c>
      <c r="AN490" t="str">
        <f>IF(Table1[[#This Row],[Income]]&gt;=70000,"HIGH INCOME","LOW INCOME")</f>
        <v>LOW INCOME</v>
      </c>
      <c r="AO490" s="1" t="str">
        <f>IF(Table1[[#This Row],[MNT_TOTAL]]&gt;=900,"HIGH VALUE","LOW VALUE")</f>
        <v>HIGH VALUE</v>
      </c>
      <c r="AP4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90" s="1"/>
      <c r="AR490" s="1"/>
    </row>
    <row r="491" spans="1:44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44</v>
      </c>
      <c r="X491">
        <v>2368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916</v>
      </c>
      <c r="AJ491">
        <v>887</v>
      </c>
      <c r="AK491">
        <v>0</v>
      </c>
      <c r="AL491">
        <f t="shared" si="7"/>
        <v>945</v>
      </c>
      <c r="AM491">
        <f>IF(OR(Table1[[#This Row],[marital_Married]]=1,Table1[[#This Row],[marital_Together]]=1),1,0)</f>
        <v>1</v>
      </c>
      <c r="AN491" t="str">
        <f>IF(Table1[[#This Row],[Income]]&gt;=70000,"HIGH INCOME","LOW INCOME")</f>
        <v>LOW INCOME</v>
      </c>
      <c r="AO491" s="1" t="str">
        <f>IF(Table1[[#This Row],[MNT_TOTAL]]&gt;=900,"HIGH VALUE","LOW VALUE")</f>
        <v>HIGH VALUE</v>
      </c>
      <c r="AP4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91" s="1"/>
      <c r="AR491" s="1"/>
    </row>
    <row r="492" spans="1:44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31</v>
      </c>
      <c r="X492">
        <v>2504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1073</v>
      </c>
      <c r="AJ492">
        <v>989</v>
      </c>
      <c r="AK492">
        <v>0</v>
      </c>
      <c r="AL492">
        <f t="shared" si="7"/>
        <v>1157</v>
      </c>
      <c r="AM492">
        <f>IF(OR(Table1[[#This Row],[marital_Married]]=1,Table1[[#This Row],[marital_Together]]=1),1,0)</f>
        <v>0</v>
      </c>
      <c r="AN492" t="str">
        <f>IF(Table1[[#This Row],[Income]]&gt;=70000,"HIGH INCOME","LOW INCOME")</f>
        <v>HIGH INCOME</v>
      </c>
      <c r="AO492" s="1" t="str">
        <f>IF(Table1[[#This Row],[MNT_TOTAL]]&gt;=900,"HIGH VALUE","LOW VALUE")</f>
        <v>HIGH VALUE</v>
      </c>
      <c r="AP4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492" s="1"/>
      <c r="AR492" s="1"/>
    </row>
    <row r="493" spans="1:44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28</v>
      </c>
      <c r="X493">
        <v>2532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117</v>
      </c>
      <c r="AJ493">
        <v>97</v>
      </c>
      <c r="AK493">
        <v>0</v>
      </c>
      <c r="AL493">
        <f t="shared" si="7"/>
        <v>137</v>
      </c>
      <c r="AM493">
        <f>IF(OR(Table1[[#This Row],[marital_Married]]=1,Table1[[#This Row],[marital_Together]]=1),1,0)</f>
        <v>1</v>
      </c>
      <c r="AN493" t="str">
        <f>IF(Table1[[#This Row],[Income]]&gt;=70000,"HIGH INCOME","LOW INCOME")</f>
        <v>LOW INCOME</v>
      </c>
      <c r="AO493" s="1" t="str">
        <f>IF(Table1[[#This Row],[MNT_TOTAL]]&gt;=900,"HIGH VALUE","LOW VALUE")</f>
        <v>LOW VALUE</v>
      </c>
      <c r="AP4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93" s="1"/>
      <c r="AR493" s="1"/>
    </row>
    <row r="494" spans="1:44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61</v>
      </c>
      <c r="X494">
        <v>2719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671</v>
      </c>
      <c r="AJ494">
        <v>612</v>
      </c>
      <c r="AK494">
        <v>0</v>
      </c>
      <c r="AL494">
        <f t="shared" si="7"/>
        <v>730</v>
      </c>
      <c r="AM494">
        <f>IF(OR(Table1[[#This Row],[marital_Married]]=1,Table1[[#This Row],[marital_Together]]=1),1,0)</f>
        <v>0</v>
      </c>
      <c r="AN494" t="str">
        <f>IF(Table1[[#This Row],[Income]]&gt;=70000,"HIGH INCOME","LOW INCOME")</f>
        <v>LOW INCOME</v>
      </c>
      <c r="AO494" s="1" t="str">
        <f>IF(Table1[[#This Row],[MNT_TOTAL]]&gt;=900,"HIGH VALUE","LOW VALUE")</f>
        <v>LOW VALUE</v>
      </c>
      <c r="AP4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94" s="1"/>
      <c r="AR494" s="1"/>
    </row>
    <row r="495" spans="1:44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39</v>
      </c>
      <c r="X495">
        <v>2559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185</v>
      </c>
      <c r="AJ495">
        <v>154</v>
      </c>
      <c r="AK495">
        <v>1</v>
      </c>
      <c r="AL495">
        <f t="shared" si="7"/>
        <v>216</v>
      </c>
      <c r="AM495">
        <f>IF(OR(Table1[[#This Row],[marital_Married]]=1,Table1[[#This Row],[marital_Together]]=1),1,0)</f>
        <v>1</v>
      </c>
      <c r="AN495" t="str">
        <f>IF(Table1[[#This Row],[Income]]&gt;=70000,"HIGH INCOME","LOW INCOME")</f>
        <v>LOW INCOME</v>
      </c>
      <c r="AO495" s="1" t="str">
        <f>IF(Table1[[#This Row],[MNT_TOTAL]]&gt;=900,"HIGH VALUE","LOW VALUE")</f>
        <v>LOW VALUE</v>
      </c>
      <c r="AP4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95" s="1"/>
      <c r="AR495" s="1"/>
    </row>
    <row r="496" spans="1:44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41</v>
      </c>
      <c r="X496">
        <v>2617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852</v>
      </c>
      <c r="AJ496">
        <v>761</v>
      </c>
      <c r="AK496">
        <v>0</v>
      </c>
      <c r="AL496">
        <f t="shared" si="7"/>
        <v>943</v>
      </c>
      <c r="AM496">
        <f>IF(OR(Table1[[#This Row],[marital_Married]]=1,Table1[[#This Row],[marital_Together]]=1),1,0)</f>
        <v>0</v>
      </c>
      <c r="AN496" t="str">
        <f>IF(Table1[[#This Row],[Income]]&gt;=70000,"HIGH INCOME","LOW INCOME")</f>
        <v>LOW INCOME</v>
      </c>
      <c r="AO496" s="1" t="str">
        <f>IF(Table1[[#This Row],[MNT_TOTAL]]&gt;=900,"HIGH VALUE","LOW VALUE")</f>
        <v>HIGH VALUE</v>
      </c>
      <c r="AP4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496" s="1"/>
      <c r="AR496" s="1"/>
    </row>
    <row r="497" spans="1:44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56</v>
      </c>
      <c r="X497">
        <v>2411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341</v>
      </c>
      <c r="AJ497">
        <v>335</v>
      </c>
      <c r="AK497">
        <v>1</v>
      </c>
      <c r="AL497">
        <f t="shared" si="7"/>
        <v>347</v>
      </c>
      <c r="AM497">
        <f>IF(OR(Table1[[#This Row],[marital_Married]]=1,Table1[[#This Row],[marital_Together]]=1),1,0)</f>
        <v>1</v>
      </c>
      <c r="AN497" t="str">
        <f>IF(Table1[[#This Row],[Income]]&gt;=70000,"HIGH INCOME","LOW INCOME")</f>
        <v>LOW INCOME</v>
      </c>
      <c r="AO497" s="1" t="str">
        <f>IF(Table1[[#This Row],[MNT_TOTAL]]&gt;=900,"HIGH VALUE","LOW VALUE")</f>
        <v>LOW VALUE</v>
      </c>
      <c r="AP4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97" s="1"/>
      <c r="AR497" s="1"/>
    </row>
    <row r="498" spans="1:44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61</v>
      </c>
      <c r="X498">
        <v>2263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1869</v>
      </c>
      <c r="AJ498">
        <v>1814</v>
      </c>
      <c r="AK498">
        <v>1</v>
      </c>
      <c r="AL498">
        <f t="shared" si="7"/>
        <v>1924</v>
      </c>
      <c r="AM498">
        <f>IF(OR(Table1[[#This Row],[marital_Married]]=1,Table1[[#This Row],[marital_Together]]=1),1,0)</f>
        <v>1</v>
      </c>
      <c r="AN498" t="str">
        <f>IF(Table1[[#This Row],[Income]]&gt;=70000,"HIGH INCOME","LOW INCOME")</f>
        <v>HIGH INCOME</v>
      </c>
      <c r="AO498" s="1" t="str">
        <f>IF(Table1[[#This Row],[MNT_TOTAL]]&gt;=900,"HIGH VALUE","LOW VALUE")</f>
        <v>HIGH VALUE</v>
      </c>
      <c r="AP4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498" s="1"/>
      <c r="AR498" s="1"/>
    </row>
    <row r="499" spans="1:44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74</v>
      </c>
      <c r="X499">
        <v>2573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345</v>
      </c>
      <c r="AJ499">
        <v>293</v>
      </c>
      <c r="AK499">
        <v>0</v>
      </c>
      <c r="AL499">
        <f t="shared" si="7"/>
        <v>397</v>
      </c>
      <c r="AM499">
        <f>IF(OR(Table1[[#This Row],[marital_Married]]=1,Table1[[#This Row],[marital_Together]]=1),1,0)</f>
        <v>1</v>
      </c>
      <c r="AN499" t="str">
        <f>IF(Table1[[#This Row],[Income]]&gt;=70000,"HIGH INCOME","LOW INCOME")</f>
        <v>LOW INCOME</v>
      </c>
      <c r="AO499" s="1" t="str">
        <f>IF(Table1[[#This Row],[MNT_TOTAL]]&gt;=900,"HIGH VALUE","LOW VALUE")</f>
        <v>LOW VALUE</v>
      </c>
      <c r="AP4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499" s="1"/>
      <c r="AR499" s="1"/>
    </row>
    <row r="500" spans="1:44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45</v>
      </c>
      <c r="X500">
        <v>2600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2062</v>
      </c>
      <c r="AJ500">
        <v>2035</v>
      </c>
      <c r="AK500">
        <v>0</v>
      </c>
      <c r="AL500">
        <f t="shared" si="7"/>
        <v>2089</v>
      </c>
      <c r="AM500">
        <f>IF(OR(Table1[[#This Row],[marital_Married]]=1,Table1[[#This Row],[marital_Together]]=1),1,0)</f>
        <v>0</v>
      </c>
      <c r="AN500" t="str">
        <f>IF(Table1[[#This Row],[Income]]&gt;=70000,"HIGH INCOME","LOW INCOME")</f>
        <v>HIGH INCOME</v>
      </c>
      <c r="AO500" s="1" t="str">
        <f>IF(Table1[[#This Row],[MNT_TOTAL]]&gt;=900,"HIGH VALUE","LOW VALUE")</f>
        <v>HIGH VALUE</v>
      </c>
      <c r="AP5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00" s="1"/>
      <c r="AR500" s="1"/>
    </row>
    <row r="501" spans="1:44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59</v>
      </c>
      <c r="X501">
        <v>2670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118</v>
      </c>
      <c r="AJ501">
        <v>98</v>
      </c>
      <c r="AK501">
        <v>0</v>
      </c>
      <c r="AL501">
        <f t="shared" si="7"/>
        <v>138</v>
      </c>
      <c r="AM501">
        <f>IF(OR(Table1[[#This Row],[marital_Married]]=1,Table1[[#This Row],[marital_Together]]=1),1,0)</f>
        <v>1</v>
      </c>
      <c r="AN501" t="str">
        <f>IF(Table1[[#This Row],[Income]]&gt;=70000,"HIGH INCOME","LOW INCOME")</f>
        <v>LOW INCOME</v>
      </c>
      <c r="AO501" s="1" t="str">
        <f>IF(Table1[[#This Row],[MNT_TOTAL]]&gt;=900,"HIGH VALUE","LOW VALUE")</f>
        <v>LOW VALUE</v>
      </c>
      <c r="AP5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01" s="1"/>
      <c r="AR501" s="1"/>
    </row>
    <row r="502" spans="1:44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30</v>
      </c>
      <c r="X502">
        <v>2523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31</v>
      </c>
      <c r="AJ502">
        <v>20</v>
      </c>
      <c r="AK502">
        <v>0</v>
      </c>
      <c r="AL502">
        <f t="shared" si="7"/>
        <v>42</v>
      </c>
      <c r="AM502">
        <f>IF(OR(Table1[[#This Row],[marital_Married]]=1,Table1[[#This Row],[marital_Together]]=1),1,0)</f>
        <v>0</v>
      </c>
      <c r="AN502" t="str">
        <f>IF(Table1[[#This Row],[Income]]&gt;=70000,"HIGH INCOME","LOW INCOME")</f>
        <v>LOW INCOME</v>
      </c>
      <c r="AO502" s="1" t="str">
        <f>IF(Table1[[#This Row],[MNT_TOTAL]]&gt;=900,"HIGH VALUE","LOW VALUE")</f>
        <v>LOW VALUE</v>
      </c>
      <c r="AP5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02" s="1"/>
      <c r="AR502" s="1"/>
    </row>
    <row r="503" spans="1:44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61</v>
      </c>
      <c r="X503">
        <v>2469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702</v>
      </c>
      <c r="AJ503">
        <v>627</v>
      </c>
      <c r="AK503">
        <v>0</v>
      </c>
      <c r="AL503">
        <f t="shared" si="7"/>
        <v>777</v>
      </c>
      <c r="AM503">
        <f>IF(OR(Table1[[#This Row],[marital_Married]]=1,Table1[[#This Row],[marital_Together]]=1),1,0)</f>
        <v>1</v>
      </c>
      <c r="AN503" t="str">
        <f>IF(Table1[[#This Row],[Income]]&gt;=70000,"HIGH INCOME","LOW INCOME")</f>
        <v>HIGH INCOME</v>
      </c>
      <c r="AO503" s="1" t="str">
        <f>IF(Table1[[#This Row],[MNT_TOTAL]]&gt;=900,"HIGH VALUE","LOW VALUE")</f>
        <v>LOW VALUE</v>
      </c>
      <c r="AP5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03" s="1"/>
      <c r="AR503" s="1"/>
    </row>
    <row r="504" spans="1:44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76</v>
      </c>
      <c r="X504">
        <v>2279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1902</v>
      </c>
      <c r="AJ504">
        <v>1902</v>
      </c>
      <c r="AK504">
        <v>2</v>
      </c>
      <c r="AL504">
        <f t="shared" si="7"/>
        <v>1902</v>
      </c>
      <c r="AM504">
        <f>IF(OR(Table1[[#This Row],[marital_Married]]=1,Table1[[#This Row],[marital_Together]]=1),1,0)</f>
        <v>1</v>
      </c>
      <c r="AN504" t="str">
        <f>IF(Table1[[#This Row],[Income]]&gt;=70000,"HIGH INCOME","LOW INCOME")</f>
        <v>HIGH INCOME</v>
      </c>
      <c r="AO504" s="1" t="str">
        <f>IF(Table1[[#This Row],[MNT_TOTAL]]&gt;=900,"HIGH VALUE","LOW VALUE")</f>
        <v>HIGH VALUE</v>
      </c>
      <c r="AP5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04" s="1"/>
      <c r="AR504" s="1"/>
    </row>
    <row r="505" spans="1:44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55</v>
      </c>
      <c r="X505">
        <v>2312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42</v>
      </c>
      <c r="AJ505">
        <v>32</v>
      </c>
      <c r="AK505">
        <v>0</v>
      </c>
      <c r="AL505">
        <f t="shared" si="7"/>
        <v>52</v>
      </c>
      <c r="AM505">
        <f>IF(OR(Table1[[#This Row],[marital_Married]]=1,Table1[[#This Row],[marital_Together]]=1),1,0)</f>
        <v>0</v>
      </c>
      <c r="AN505" t="str">
        <f>IF(Table1[[#This Row],[Income]]&gt;=70000,"HIGH INCOME","LOW INCOME")</f>
        <v>LOW INCOME</v>
      </c>
      <c r="AO505" s="1" t="str">
        <f>IF(Table1[[#This Row],[MNT_TOTAL]]&gt;=900,"HIGH VALUE","LOW VALUE")</f>
        <v>LOW VALUE</v>
      </c>
      <c r="AP5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05" s="1"/>
      <c r="AR505" s="1"/>
    </row>
    <row r="506" spans="1:44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33</v>
      </c>
      <c r="X506">
        <v>2279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1476</v>
      </c>
      <c r="AJ506">
        <v>1301</v>
      </c>
      <c r="AK506">
        <v>1</v>
      </c>
      <c r="AL506">
        <f t="shared" si="7"/>
        <v>1651</v>
      </c>
      <c r="AM506">
        <f>IF(OR(Table1[[#This Row],[marital_Married]]=1,Table1[[#This Row],[marital_Together]]=1),1,0)</f>
        <v>0</v>
      </c>
      <c r="AN506" t="str">
        <f>IF(Table1[[#This Row],[Income]]&gt;=70000,"HIGH INCOME","LOW INCOME")</f>
        <v>HIGH INCOME</v>
      </c>
      <c r="AO506" s="1" t="str">
        <f>IF(Table1[[#This Row],[MNT_TOTAL]]&gt;=900,"HIGH VALUE","LOW VALUE")</f>
        <v>HIGH VALUE</v>
      </c>
      <c r="AP5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06" s="1"/>
      <c r="AR506" s="1"/>
    </row>
    <row r="507" spans="1:44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29</v>
      </c>
      <c r="X507">
        <v>2476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300</v>
      </c>
      <c r="AJ507">
        <v>242</v>
      </c>
      <c r="AK507">
        <v>0</v>
      </c>
      <c r="AL507">
        <f t="shared" si="7"/>
        <v>358</v>
      </c>
      <c r="AM507">
        <f>IF(OR(Table1[[#This Row],[marital_Married]]=1,Table1[[#This Row],[marital_Together]]=1),1,0)</f>
        <v>1</v>
      </c>
      <c r="AN507" t="str">
        <f>IF(Table1[[#This Row],[Income]]&gt;=70000,"HIGH INCOME","LOW INCOME")</f>
        <v>LOW INCOME</v>
      </c>
      <c r="AO507" s="1" t="str">
        <f>IF(Table1[[#This Row],[MNT_TOTAL]]&gt;=900,"HIGH VALUE","LOW VALUE")</f>
        <v>LOW VALUE</v>
      </c>
      <c r="AP5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07" s="1"/>
      <c r="AR507" s="1"/>
    </row>
    <row r="508" spans="1:44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67</v>
      </c>
      <c r="X508">
        <v>2796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1661</v>
      </c>
      <c r="AJ508">
        <v>1595</v>
      </c>
      <c r="AK508">
        <v>2</v>
      </c>
      <c r="AL508">
        <f t="shared" si="7"/>
        <v>1727</v>
      </c>
      <c r="AM508">
        <f>IF(OR(Table1[[#This Row],[marital_Married]]=1,Table1[[#This Row],[marital_Together]]=1),1,0)</f>
        <v>1</v>
      </c>
      <c r="AN508" t="str">
        <f>IF(Table1[[#This Row],[Income]]&gt;=70000,"HIGH INCOME","LOW INCOME")</f>
        <v>HIGH INCOME</v>
      </c>
      <c r="AO508" s="1" t="str">
        <f>IF(Table1[[#This Row],[MNT_TOTAL]]&gt;=900,"HIGH VALUE","LOW VALUE")</f>
        <v>HIGH VALUE</v>
      </c>
      <c r="AP5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08" s="1"/>
      <c r="AR508" s="1"/>
    </row>
    <row r="509" spans="1:44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33</v>
      </c>
      <c r="X509">
        <v>2818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125</v>
      </c>
      <c r="AJ509">
        <v>40</v>
      </c>
      <c r="AK509">
        <v>0</v>
      </c>
      <c r="AL509">
        <f t="shared" si="7"/>
        <v>210</v>
      </c>
      <c r="AM509">
        <f>IF(OR(Table1[[#This Row],[marital_Married]]=1,Table1[[#This Row],[marital_Together]]=1),1,0)</f>
        <v>1</v>
      </c>
      <c r="AN509" t="str">
        <f>IF(Table1[[#This Row],[Income]]&gt;=70000,"HIGH INCOME","LOW INCOME")</f>
        <v>LOW INCOME</v>
      </c>
      <c r="AO509" s="1" t="str">
        <f>IF(Table1[[#This Row],[MNT_TOTAL]]&gt;=900,"HIGH VALUE","LOW VALUE")</f>
        <v>LOW VALUE</v>
      </c>
      <c r="AP5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09" s="1"/>
      <c r="AR509" s="1"/>
    </row>
    <row r="510" spans="1:44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34</v>
      </c>
      <c r="X510">
        <v>2731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40</v>
      </c>
      <c r="AJ510">
        <v>38</v>
      </c>
      <c r="AK510">
        <v>0</v>
      </c>
      <c r="AL510">
        <f t="shared" si="7"/>
        <v>42</v>
      </c>
      <c r="AM510">
        <f>IF(OR(Table1[[#This Row],[marital_Married]]=1,Table1[[#This Row],[marital_Together]]=1),1,0)</f>
        <v>1</v>
      </c>
      <c r="AN510" t="str">
        <f>IF(Table1[[#This Row],[Income]]&gt;=70000,"HIGH INCOME","LOW INCOME")</f>
        <v>LOW INCOME</v>
      </c>
      <c r="AO510" s="1" t="str">
        <f>IF(Table1[[#This Row],[MNT_TOTAL]]&gt;=900,"HIGH VALUE","LOW VALUE")</f>
        <v>LOW VALUE</v>
      </c>
      <c r="AP5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10" s="1"/>
      <c r="AR510" s="1"/>
    </row>
    <row r="511" spans="1:44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62</v>
      </c>
      <c r="X511">
        <v>2373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1279</v>
      </c>
      <c r="AJ511">
        <v>1267</v>
      </c>
      <c r="AK511">
        <v>0</v>
      </c>
      <c r="AL511">
        <f t="shared" si="7"/>
        <v>1291</v>
      </c>
      <c r="AM511">
        <f>IF(OR(Table1[[#This Row],[marital_Married]]=1,Table1[[#This Row],[marital_Together]]=1),1,0)</f>
        <v>1</v>
      </c>
      <c r="AN511" t="str">
        <f>IF(Table1[[#This Row],[Income]]&gt;=70000,"HIGH INCOME","LOW INCOME")</f>
        <v>HIGH INCOME</v>
      </c>
      <c r="AO511" s="1" t="str">
        <f>IF(Table1[[#This Row],[MNT_TOTAL]]&gt;=900,"HIGH VALUE","LOW VALUE")</f>
        <v>HIGH VALUE</v>
      </c>
      <c r="AP5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11" s="1"/>
      <c r="AR511" s="1"/>
    </row>
    <row r="512" spans="1:44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43</v>
      </c>
      <c r="X512">
        <v>2180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407</v>
      </c>
      <c r="AJ512">
        <v>372</v>
      </c>
      <c r="AK512">
        <v>0</v>
      </c>
      <c r="AL512">
        <f t="shared" si="7"/>
        <v>442</v>
      </c>
      <c r="AM512">
        <f>IF(OR(Table1[[#This Row],[marital_Married]]=1,Table1[[#This Row],[marital_Together]]=1),1,0)</f>
        <v>1</v>
      </c>
      <c r="AN512" t="str">
        <f>IF(Table1[[#This Row],[Income]]&gt;=70000,"HIGH INCOME","LOW INCOME")</f>
        <v>LOW INCOME</v>
      </c>
      <c r="AO512" s="1" t="str">
        <f>IF(Table1[[#This Row],[MNT_TOTAL]]&gt;=900,"HIGH VALUE","LOW VALUE")</f>
        <v>LOW VALUE</v>
      </c>
      <c r="AP5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12" s="1"/>
      <c r="AR512" s="1"/>
    </row>
    <row r="513" spans="1:44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56</v>
      </c>
      <c r="X513">
        <v>2845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1775</v>
      </c>
      <c r="AJ513">
        <v>1655</v>
      </c>
      <c r="AK513">
        <v>0</v>
      </c>
      <c r="AL513">
        <f t="shared" si="7"/>
        <v>1895</v>
      </c>
      <c r="AM513">
        <f>IF(OR(Table1[[#This Row],[marital_Married]]=1,Table1[[#This Row],[marital_Together]]=1),1,0)</f>
        <v>0</v>
      </c>
      <c r="AN513" t="str">
        <f>IF(Table1[[#This Row],[Income]]&gt;=70000,"HIGH INCOME","LOW INCOME")</f>
        <v>LOW INCOME</v>
      </c>
      <c r="AO513" s="1" t="str">
        <f>IF(Table1[[#This Row],[MNT_TOTAL]]&gt;=900,"HIGH VALUE","LOW VALUE")</f>
        <v>HIGH VALUE</v>
      </c>
      <c r="AP5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13" s="1"/>
      <c r="AR513" s="1"/>
    </row>
    <row r="514" spans="1:44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60</v>
      </c>
      <c r="X514">
        <v>2397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340</v>
      </c>
      <c r="AJ514">
        <v>269</v>
      </c>
      <c r="AK514">
        <v>0</v>
      </c>
      <c r="AL514">
        <f t="shared" ref="AL514:AL577" si="8">SUM(E514:J514)</f>
        <v>411</v>
      </c>
      <c r="AM514">
        <f>IF(OR(Table1[[#This Row],[marital_Married]]=1,Table1[[#This Row],[marital_Together]]=1),1,0)</f>
        <v>1</v>
      </c>
      <c r="AN514" t="str">
        <f>IF(Table1[[#This Row],[Income]]&gt;=70000,"HIGH INCOME","LOW INCOME")</f>
        <v>LOW INCOME</v>
      </c>
      <c r="AO514" s="1" t="str">
        <f>IF(Table1[[#This Row],[MNT_TOTAL]]&gt;=900,"HIGH VALUE","LOW VALUE")</f>
        <v>LOW VALUE</v>
      </c>
      <c r="AP5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14" s="1"/>
      <c r="AR514" s="1"/>
    </row>
    <row r="515" spans="1:44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45</v>
      </c>
      <c r="X515">
        <v>2658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460</v>
      </c>
      <c r="AJ515">
        <v>399</v>
      </c>
      <c r="AK515">
        <v>0</v>
      </c>
      <c r="AL515">
        <f t="shared" si="8"/>
        <v>521</v>
      </c>
      <c r="AM515">
        <f>IF(OR(Table1[[#This Row],[marital_Married]]=1,Table1[[#This Row],[marital_Together]]=1),1,0)</f>
        <v>0</v>
      </c>
      <c r="AN515" t="str">
        <f>IF(Table1[[#This Row],[Income]]&gt;=70000,"HIGH INCOME","LOW INCOME")</f>
        <v>LOW INCOME</v>
      </c>
      <c r="AO515" s="1" t="str">
        <f>IF(Table1[[#This Row],[MNT_TOTAL]]&gt;=900,"HIGH VALUE","LOW VALUE")</f>
        <v>LOW VALUE</v>
      </c>
      <c r="AP5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15" s="1"/>
      <c r="AR515" s="1"/>
    </row>
    <row r="516" spans="1:44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51</v>
      </c>
      <c r="X516">
        <v>2443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1114</v>
      </c>
      <c r="AJ516">
        <v>1060</v>
      </c>
      <c r="AK516">
        <v>0</v>
      </c>
      <c r="AL516">
        <f t="shared" si="8"/>
        <v>1168</v>
      </c>
      <c r="AM516">
        <f>IF(OR(Table1[[#This Row],[marital_Married]]=1,Table1[[#This Row],[marital_Together]]=1),1,0)</f>
        <v>0</v>
      </c>
      <c r="AN516" t="str">
        <f>IF(Table1[[#This Row],[Income]]&gt;=70000,"HIGH INCOME","LOW INCOME")</f>
        <v>HIGH INCOME</v>
      </c>
      <c r="AO516" s="1" t="str">
        <f>IF(Table1[[#This Row],[MNT_TOTAL]]&gt;=900,"HIGH VALUE","LOW VALUE")</f>
        <v>HIGH VALUE</v>
      </c>
      <c r="AP5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16" s="1"/>
      <c r="AR516" s="1"/>
    </row>
    <row r="517" spans="1:44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43</v>
      </c>
      <c r="X517">
        <v>2170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484</v>
      </c>
      <c r="AJ517">
        <v>475</v>
      </c>
      <c r="AK517">
        <v>1</v>
      </c>
      <c r="AL517">
        <f t="shared" si="8"/>
        <v>493</v>
      </c>
      <c r="AM517">
        <f>IF(OR(Table1[[#This Row],[marital_Married]]=1,Table1[[#This Row],[marital_Together]]=1),1,0)</f>
        <v>1</v>
      </c>
      <c r="AN517" t="str">
        <f>IF(Table1[[#This Row],[Income]]&gt;=70000,"HIGH INCOME","LOW INCOME")</f>
        <v>LOW INCOME</v>
      </c>
      <c r="AO517" s="1" t="str">
        <f>IF(Table1[[#This Row],[MNT_TOTAL]]&gt;=900,"HIGH VALUE","LOW VALUE")</f>
        <v>LOW VALUE</v>
      </c>
      <c r="AP5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17" s="1"/>
      <c r="AR517" s="1"/>
    </row>
    <row r="518" spans="1:44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58</v>
      </c>
      <c r="X518">
        <v>2590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222</v>
      </c>
      <c r="AJ518">
        <v>184</v>
      </c>
      <c r="AK518">
        <v>0</v>
      </c>
      <c r="AL518">
        <f t="shared" si="8"/>
        <v>260</v>
      </c>
      <c r="AM518">
        <f>IF(OR(Table1[[#This Row],[marital_Married]]=1,Table1[[#This Row],[marital_Together]]=1),1,0)</f>
        <v>1</v>
      </c>
      <c r="AN518" t="str">
        <f>IF(Table1[[#This Row],[Income]]&gt;=70000,"HIGH INCOME","LOW INCOME")</f>
        <v>LOW INCOME</v>
      </c>
      <c r="AO518" s="1" t="str">
        <f>IF(Table1[[#This Row],[MNT_TOTAL]]&gt;=900,"HIGH VALUE","LOW VALUE")</f>
        <v>LOW VALUE</v>
      </c>
      <c r="AP5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18" s="1"/>
      <c r="AR518" s="1"/>
    </row>
    <row r="519" spans="1:44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38</v>
      </c>
      <c r="X519">
        <v>2536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40</v>
      </c>
      <c r="AJ519">
        <v>34</v>
      </c>
      <c r="AK519">
        <v>0</v>
      </c>
      <c r="AL519">
        <f t="shared" si="8"/>
        <v>46</v>
      </c>
      <c r="AM519">
        <f>IF(OR(Table1[[#This Row],[marital_Married]]=1,Table1[[#This Row],[marital_Together]]=1),1,0)</f>
        <v>0</v>
      </c>
      <c r="AN519" t="str">
        <f>IF(Table1[[#This Row],[Income]]&gt;=70000,"HIGH INCOME","LOW INCOME")</f>
        <v>LOW INCOME</v>
      </c>
      <c r="AO519" s="1" t="str">
        <f>IF(Table1[[#This Row],[MNT_TOTAL]]&gt;=900,"HIGH VALUE","LOW VALUE")</f>
        <v>LOW VALUE</v>
      </c>
      <c r="AP5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19" s="1"/>
      <c r="AR519" s="1"/>
    </row>
    <row r="520" spans="1:44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69</v>
      </c>
      <c r="X520">
        <v>2603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304</v>
      </c>
      <c r="AJ520">
        <v>289</v>
      </c>
      <c r="AK520">
        <v>0</v>
      </c>
      <c r="AL520">
        <f t="shared" si="8"/>
        <v>319</v>
      </c>
      <c r="AM520">
        <f>IF(OR(Table1[[#This Row],[marital_Married]]=1,Table1[[#This Row],[marital_Together]]=1),1,0)</f>
        <v>1</v>
      </c>
      <c r="AN520" t="str">
        <f>IF(Table1[[#This Row],[Income]]&gt;=70000,"HIGH INCOME","LOW INCOME")</f>
        <v>LOW INCOME</v>
      </c>
      <c r="AO520" s="1" t="str">
        <f>IF(Table1[[#This Row],[MNT_TOTAL]]&gt;=900,"HIGH VALUE","LOW VALUE")</f>
        <v>LOW VALUE</v>
      </c>
      <c r="AP5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0" s="1"/>
      <c r="AR520" s="1"/>
    </row>
    <row r="521" spans="1:44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53</v>
      </c>
      <c r="X521">
        <v>2321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89</v>
      </c>
      <c r="AJ521">
        <v>82</v>
      </c>
      <c r="AK521">
        <v>0</v>
      </c>
      <c r="AL521">
        <f t="shared" si="8"/>
        <v>96</v>
      </c>
      <c r="AM521">
        <f>IF(OR(Table1[[#This Row],[marital_Married]]=1,Table1[[#This Row],[marital_Together]]=1),1,0)</f>
        <v>1</v>
      </c>
      <c r="AN521" t="str">
        <f>IF(Table1[[#This Row],[Income]]&gt;=70000,"HIGH INCOME","LOW INCOME")</f>
        <v>LOW INCOME</v>
      </c>
      <c r="AO521" s="1" t="str">
        <f>IF(Table1[[#This Row],[MNT_TOTAL]]&gt;=900,"HIGH VALUE","LOW VALUE")</f>
        <v>LOW VALUE</v>
      </c>
      <c r="AP5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1" s="1"/>
      <c r="AR521" s="1"/>
    </row>
    <row r="522" spans="1:44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53</v>
      </c>
      <c r="X522">
        <v>2293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1032</v>
      </c>
      <c r="AJ522">
        <v>1002</v>
      </c>
      <c r="AK522">
        <v>1</v>
      </c>
      <c r="AL522">
        <f t="shared" si="8"/>
        <v>1062</v>
      </c>
      <c r="AM522">
        <f>IF(OR(Table1[[#This Row],[marital_Married]]=1,Table1[[#This Row],[marital_Together]]=1),1,0)</f>
        <v>0</v>
      </c>
      <c r="AN522" t="str">
        <f>IF(Table1[[#This Row],[Income]]&gt;=70000,"HIGH INCOME","LOW INCOME")</f>
        <v>HIGH INCOME</v>
      </c>
      <c r="AO522" s="1" t="str">
        <f>IF(Table1[[#This Row],[MNT_TOTAL]]&gt;=900,"HIGH VALUE","LOW VALUE")</f>
        <v>HIGH VALUE</v>
      </c>
      <c r="AP5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22" s="1"/>
      <c r="AR522" s="1"/>
    </row>
    <row r="523" spans="1:44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68</v>
      </c>
      <c r="X523">
        <v>2484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226</v>
      </c>
      <c r="AJ523">
        <v>220</v>
      </c>
      <c r="AK523">
        <v>0</v>
      </c>
      <c r="AL523">
        <f t="shared" si="8"/>
        <v>232</v>
      </c>
      <c r="AM523">
        <f>IF(OR(Table1[[#This Row],[marital_Married]]=1,Table1[[#This Row],[marital_Together]]=1),1,0)</f>
        <v>1</v>
      </c>
      <c r="AN523" t="str">
        <f>IF(Table1[[#This Row],[Income]]&gt;=70000,"HIGH INCOME","LOW INCOME")</f>
        <v>LOW INCOME</v>
      </c>
      <c r="AO523" s="1" t="str">
        <f>IF(Table1[[#This Row],[MNT_TOTAL]]&gt;=900,"HIGH VALUE","LOW VALUE")</f>
        <v>LOW VALUE</v>
      </c>
      <c r="AP5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3" s="1"/>
      <c r="AR523" s="1"/>
    </row>
    <row r="524" spans="1:44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39</v>
      </c>
      <c r="X524">
        <v>2347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50</v>
      </c>
      <c r="AJ524">
        <v>24</v>
      </c>
      <c r="AK524">
        <v>0</v>
      </c>
      <c r="AL524">
        <f t="shared" si="8"/>
        <v>76</v>
      </c>
      <c r="AM524">
        <f>IF(OR(Table1[[#This Row],[marital_Married]]=1,Table1[[#This Row],[marital_Together]]=1),1,0)</f>
        <v>0</v>
      </c>
      <c r="AN524" t="str">
        <f>IF(Table1[[#This Row],[Income]]&gt;=70000,"HIGH INCOME","LOW INCOME")</f>
        <v>LOW INCOME</v>
      </c>
      <c r="AO524" s="1" t="str">
        <f>IF(Table1[[#This Row],[MNT_TOTAL]]&gt;=900,"HIGH VALUE","LOW VALUE")</f>
        <v>LOW VALUE</v>
      </c>
      <c r="AP5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24" s="1"/>
      <c r="AR524" s="1"/>
    </row>
    <row r="525" spans="1:44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43</v>
      </c>
      <c r="X525">
        <v>2393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10</v>
      </c>
      <c r="AK525">
        <v>0</v>
      </c>
      <c r="AL525">
        <f t="shared" si="8"/>
        <v>54</v>
      </c>
      <c r="AM525">
        <f>IF(OR(Table1[[#This Row],[marital_Married]]=1,Table1[[#This Row],[marital_Together]]=1),1,0)</f>
        <v>1</v>
      </c>
      <c r="AN525" t="str">
        <f>IF(Table1[[#This Row],[Income]]&gt;=70000,"HIGH INCOME","LOW INCOME")</f>
        <v>LOW INCOME</v>
      </c>
      <c r="AO525" s="1" t="str">
        <f>IF(Table1[[#This Row],[MNT_TOTAL]]&gt;=900,"HIGH VALUE","LOW VALUE")</f>
        <v>LOW VALUE</v>
      </c>
      <c r="AP5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5" s="1"/>
      <c r="AR525" s="1"/>
    </row>
    <row r="526" spans="1:44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51</v>
      </c>
      <c r="X526">
        <v>2851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182</v>
      </c>
      <c r="AJ526">
        <v>163</v>
      </c>
      <c r="AK526">
        <v>0</v>
      </c>
      <c r="AL526">
        <f t="shared" si="8"/>
        <v>201</v>
      </c>
      <c r="AM526">
        <f>IF(OR(Table1[[#This Row],[marital_Married]]=1,Table1[[#This Row],[marital_Together]]=1),1,0)</f>
        <v>0</v>
      </c>
      <c r="AN526" t="str">
        <f>IF(Table1[[#This Row],[Income]]&gt;=70000,"HIGH INCOME","LOW INCOME")</f>
        <v>LOW INCOME</v>
      </c>
      <c r="AO526" s="1" t="str">
        <f>IF(Table1[[#This Row],[MNT_TOTAL]]&gt;=900,"HIGH VALUE","LOW VALUE")</f>
        <v>LOW VALUE</v>
      </c>
      <c r="AP5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26" s="1"/>
      <c r="AR526" s="1"/>
    </row>
    <row r="527" spans="1:44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36</v>
      </c>
      <c r="X527">
        <v>2737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304</v>
      </c>
      <c r="AJ527">
        <v>202</v>
      </c>
      <c r="AK527">
        <v>0</v>
      </c>
      <c r="AL527">
        <f t="shared" si="8"/>
        <v>406</v>
      </c>
      <c r="AM527">
        <f>IF(OR(Table1[[#This Row],[marital_Married]]=1,Table1[[#This Row],[marital_Together]]=1),1,0)</f>
        <v>0</v>
      </c>
      <c r="AN527" t="str">
        <f>IF(Table1[[#This Row],[Income]]&gt;=70000,"HIGH INCOME","LOW INCOME")</f>
        <v>LOW INCOME</v>
      </c>
      <c r="AO527" s="1" t="str">
        <f>IF(Table1[[#This Row],[MNT_TOTAL]]&gt;=900,"HIGH VALUE","LOW VALUE")</f>
        <v>LOW VALUE</v>
      </c>
      <c r="AP5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27" s="1"/>
      <c r="AR527" s="1"/>
    </row>
    <row r="528" spans="1:44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38</v>
      </c>
      <c r="X528">
        <v>2485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1919</v>
      </c>
      <c r="AJ528">
        <v>1919</v>
      </c>
      <c r="AK528">
        <v>2</v>
      </c>
      <c r="AL528">
        <f t="shared" si="8"/>
        <v>1919</v>
      </c>
      <c r="AM528">
        <f>IF(OR(Table1[[#This Row],[marital_Married]]=1,Table1[[#This Row],[marital_Together]]=1),1,0)</f>
        <v>1</v>
      </c>
      <c r="AN528" t="str">
        <f>IF(Table1[[#This Row],[Income]]&gt;=70000,"HIGH INCOME","LOW INCOME")</f>
        <v>HIGH INCOME</v>
      </c>
      <c r="AO528" s="1" t="str">
        <f>IF(Table1[[#This Row],[MNT_TOTAL]]&gt;=900,"HIGH VALUE","LOW VALUE")</f>
        <v>HIGH VALUE</v>
      </c>
      <c r="AP5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28" s="1"/>
      <c r="AR528" s="1"/>
    </row>
    <row r="529" spans="1:44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44</v>
      </c>
      <c r="X529">
        <v>2549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608</v>
      </c>
      <c r="AJ529">
        <v>554</v>
      </c>
      <c r="AK529">
        <v>0</v>
      </c>
      <c r="AL529">
        <f t="shared" si="8"/>
        <v>662</v>
      </c>
      <c r="AM529">
        <f>IF(OR(Table1[[#This Row],[marital_Married]]=1,Table1[[#This Row],[marital_Together]]=1),1,0)</f>
        <v>1</v>
      </c>
      <c r="AN529" t="str">
        <f>IF(Table1[[#This Row],[Income]]&gt;=70000,"HIGH INCOME","LOW INCOME")</f>
        <v>LOW INCOME</v>
      </c>
      <c r="AO529" s="1" t="str">
        <f>IF(Table1[[#This Row],[MNT_TOTAL]]&gt;=900,"HIGH VALUE","LOW VALUE")</f>
        <v>LOW VALUE</v>
      </c>
      <c r="AP5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29" s="1"/>
      <c r="AR529" s="1"/>
    </row>
    <row r="530" spans="1:44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30</v>
      </c>
      <c r="X530">
        <v>2272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35</v>
      </c>
      <c r="AJ530">
        <v>29</v>
      </c>
      <c r="AK530">
        <v>0</v>
      </c>
      <c r="AL530">
        <f t="shared" si="8"/>
        <v>41</v>
      </c>
      <c r="AM530">
        <f>IF(OR(Table1[[#This Row],[marital_Married]]=1,Table1[[#This Row],[marital_Together]]=1),1,0)</f>
        <v>1</v>
      </c>
      <c r="AN530" t="str">
        <f>IF(Table1[[#This Row],[Income]]&gt;=70000,"HIGH INCOME","LOW INCOME")</f>
        <v>LOW INCOME</v>
      </c>
      <c r="AO530" s="1" t="str">
        <f>IF(Table1[[#This Row],[MNT_TOTAL]]&gt;=900,"HIGH VALUE","LOW VALUE")</f>
        <v>LOW VALUE</v>
      </c>
      <c r="AP5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30" s="1"/>
      <c r="AR530" s="1"/>
    </row>
    <row r="531" spans="1:44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56</v>
      </c>
      <c r="X531">
        <v>2332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1554</v>
      </c>
      <c r="AJ531">
        <v>1508</v>
      </c>
      <c r="AK531">
        <v>0</v>
      </c>
      <c r="AL531">
        <f t="shared" si="8"/>
        <v>1600</v>
      </c>
      <c r="AM531">
        <f>IF(OR(Table1[[#This Row],[marital_Married]]=1,Table1[[#This Row],[marital_Together]]=1),1,0)</f>
        <v>0</v>
      </c>
      <c r="AN531" t="str">
        <f>IF(Table1[[#This Row],[Income]]&gt;=70000,"HIGH INCOME","LOW INCOME")</f>
        <v>HIGH INCOME</v>
      </c>
      <c r="AO531" s="1" t="str">
        <f>IF(Table1[[#This Row],[MNT_TOTAL]]&gt;=900,"HIGH VALUE","LOW VALUE")</f>
        <v>HIGH VALUE</v>
      </c>
      <c r="AP5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31" s="1"/>
      <c r="AR531" s="1"/>
    </row>
    <row r="532" spans="1:44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40</v>
      </c>
      <c r="X532">
        <v>2367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124</v>
      </c>
      <c r="AJ532">
        <v>114</v>
      </c>
      <c r="AK532">
        <v>0</v>
      </c>
      <c r="AL532">
        <f t="shared" si="8"/>
        <v>134</v>
      </c>
      <c r="AM532">
        <f>IF(OR(Table1[[#This Row],[marital_Married]]=1,Table1[[#This Row],[marital_Together]]=1),1,0)</f>
        <v>1</v>
      </c>
      <c r="AN532" t="str">
        <f>IF(Table1[[#This Row],[Income]]&gt;=70000,"HIGH INCOME","LOW INCOME")</f>
        <v>LOW INCOME</v>
      </c>
      <c r="AO532" s="1" t="str">
        <f>IF(Table1[[#This Row],[MNT_TOTAL]]&gt;=900,"HIGH VALUE","LOW VALUE")</f>
        <v>LOW VALUE</v>
      </c>
      <c r="AP5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32" s="1"/>
      <c r="AR532" s="1"/>
    </row>
    <row r="533" spans="1:44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52</v>
      </c>
      <c r="X533">
        <v>2313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41</v>
      </c>
      <c r="AJ533">
        <v>13</v>
      </c>
      <c r="AK533">
        <v>1</v>
      </c>
      <c r="AL533">
        <f t="shared" si="8"/>
        <v>69</v>
      </c>
      <c r="AM533">
        <f>IF(OR(Table1[[#This Row],[marital_Married]]=1,Table1[[#This Row],[marital_Together]]=1),1,0)</f>
        <v>1</v>
      </c>
      <c r="AN533" t="str">
        <f>IF(Table1[[#This Row],[Income]]&gt;=70000,"HIGH INCOME","LOW INCOME")</f>
        <v>LOW INCOME</v>
      </c>
      <c r="AO533" s="1" t="str">
        <f>IF(Table1[[#This Row],[MNT_TOTAL]]&gt;=900,"HIGH VALUE","LOW VALUE")</f>
        <v>LOW VALUE</v>
      </c>
      <c r="AP5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33" s="1"/>
      <c r="AR533" s="1"/>
    </row>
    <row r="534" spans="1:44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47</v>
      </c>
      <c r="X534">
        <v>2251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20</v>
      </c>
      <c r="AJ534">
        <v>19</v>
      </c>
      <c r="AK534">
        <v>0</v>
      </c>
      <c r="AL534">
        <f t="shared" si="8"/>
        <v>21</v>
      </c>
      <c r="AM534">
        <f>IF(OR(Table1[[#This Row],[marital_Married]]=1,Table1[[#This Row],[marital_Together]]=1),1,0)</f>
        <v>1</v>
      </c>
      <c r="AN534" t="str">
        <f>IF(Table1[[#This Row],[Income]]&gt;=70000,"HIGH INCOME","LOW INCOME")</f>
        <v>LOW INCOME</v>
      </c>
      <c r="AO534" s="1" t="str">
        <f>IF(Table1[[#This Row],[MNT_TOTAL]]&gt;=900,"HIGH VALUE","LOW VALUE")</f>
        <v>LOW VALUE</v>
      </c>
      <c r="AP5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34" s="1"/>
      <c r="AR534" s="1"/>
    </row>
    <row r="535" spans="1:44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57</v>
      </c>
      <c r="X535">
        <v>2249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36</v>
      </c>
      <c r="AJ535">
        <v>18</v>
      </c>
      <c r="AK535">
        <v>0</v>
      </c>
      <c r="AL535">
        <f t="shared" si="8"/>
        <v>54</v>
      </c>
      <c r="AM535">
        <f>IF(OR(Table1[[#This Row],[marital_Married]]=1,Table1[[#This Row],[marital_Together]]=1),1,0)</f>
        <v>0</v>
      </c>
      <c r="AN535" t="str">
        <f>IF(Table1[[#This Row],[Income]]&gt;=70000,"HIGH INCOME","LOW INCOME")</f>
        <v>LOW INCOME</v>
      </c>
      <c r="AO535" s="1" t="str">
        <f>IF(Table1[[#This Row],[MNT_TOTAL]]&gt;=900,"HIGH VALUE","LOW VALUE")</f>
        <v>LOW VALUE</v>
      </c>
      <c r="AP5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35" s="1"/>
      <c r="AR535" s="1"/>
    </row>
    <row r="536" spans="1:44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31</v>
      </c>
      <c r="X536">
        <v>2241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57</v>
      </c>
      <c r="AJ536">
        <v>23</v>
      </c>
      <c r="AK536">
        <v>1</v>
      </c>
      <c r="AL536">
        <f t="shared" si="8"/>
        <v>91</v>
      </c>
      <c r="AM536">
        <f>IF(OR(Table1[[#This Row],[marital_Married]]=1,Table1[[#This Row],[marital_Together]]=1),1,0)</f>
        <v>0</v>
      </c>
      <c r="AN536" t="str">
        <f>IF(Table1[[#This Row],[Income]]&gt;=70000,"HIGH INCOME","LOW INCOME")</f>
        <v>LOW INCOME</v>
      </c>
      <c r="AO536" s="1" t="str">
        <f>IF(Table1[[#This Row],[MNT_TOTAL]]&gt;=900,"HIGH VALUE","LOW VALUE")</f>
        <v>LOW VALUE</v>
      </c>
      <c r="AP5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36" s="1"/>
      <c r="AR536" s="1"/>
    </row>
    <row r="537" spans="1:44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49</v>
      </c>
      <c r="X537">
        <v>2301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492</v>
      </c>
      <c r="AJ537">
        <v>458</v>
      </c>
      <c r="AK537">
        <v>0</v>
      </c>
      <c r="AL537">
        <f t="shared" si="8"/>
        <v>526</v>
      </c>
      <c r="AM537">
        <f>IF(OR(Table1[[#This Row],[marital_Married]]=1,Table1[[#This Row],[marital_Together]]=1),1,0)</f>
        <v>0</v>
      </c>
      <c r="AN537" t="str">
        <f>IF(Table1[[#This Row],[Income]]&gt;=70000,"HIGH INCOME","LOW INCOME")</f>
        <v>LOW INCOME</v>
      </c>
      <c r="AO537" s="1" t="str">
        <f>IF(Table1[[#This Row],[MNT_TOTAL]]&gt;=900,"HIGH VALUE","LOW VALUE")</f>
        <v>LOW VALUE</v>
      </c>
      <c r="AP5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37" s="1"/>
      <c r="AR537" s="1"/>
    </row>
    <row r="538" spans="1:44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57</v>
      </c>
      <c r="X538">
        <v>2596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120</v>
      </c>
      <c r="AJ538">
        <v>78</v>
      </c>
      <c r="AK538">
        <v>0</v>
      </c>
      <c r="AL538">
        <f t="shared" si="8"/>
        <v>162</v>
      </c>
      <c r="AM538">
        <f>IF(OR(Table1[[#This Row],[marital_Married]]=1,Table1[[#This Row],[marital_Together]]=1),1,0)</f>
        <v>1</v>
      </c>
      <c r="AN538" t="str">
        <f>IF(Table1[[#This Row],[Income]]&gt;=70000,"HIGH INCOME","LOW INCOME")</f>
        <v>LOW INCOME</v>
      </c>
      <c r="AO538" s="1" t="str">
        <f>IF(Table1[[#This Row],[MNT_TOTAL]]&gt;=900,"HIGH VALUE","LOW VALUE")</f>
        <v>LOW VALUE</v>
      </c>
      <c r="AP5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38" s="1"/>
      <c r="AR538" s="1"/>
    </row>
    <row r="539" spans="1:44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71</v>
      </c>
      <c r="X539">
        <v>2394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961</v>
      </c>
      <c r="AJ539">
        <v>914</v>
      </c>
      <c r="AK539">
        <v>0</v>
      </c>
      <c r="AL539">
        <f t="shared" si="8"/>
        <v>1008</v>
      </c>
      <c r="AM539">
        <f>IF(OR(Table1[[#This Row],[marital_Married]]=1,Table1[[#This Row],[marital_Together]]=1),1,0)</f>
        <v>1</v>
      </c>
      <c r="AN539" t="str">
        <f>IF(Table1[[#This Row],[Income]]&gt;=70000,"HIGH INCOME","LOW INCOME")</f>
        <v>HIGH INCOME</v>
      </c>
      <c r="AO539" s="1" t="str">
        <f>IF(Table1[[#This Row],[MNT_TOTAL]]&gt;=900,"HIGH VALUE","LOW VALUE")</f>
        <v>HIGH VALUE</v>
      </c>
      <c r="AP5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39" s="1"/>
      <c r="AR539" s="1"/>
    </row>
    <row r="540" spans="1:44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68</v>
      </c>
      <c r="X540">
        <v>2814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225</v>
      </c>
      <c r="AJ540">
        <v>210</v>
      </c>
      <c r="AK540">
        <v>0</v>
      </c>
      <c r="AL540">
        <f t="shared" si="8"/>
        <v>240</v>
      </c>
      <c r="AM540">
        <f>IF(OR(Table1[[#This Row],[marital_Married]]=1,Table1[[#This Row],[marital_Together]]=1),1,0)</f>
        <v>1</v>
      </c>
      <c r="AN540" t="str">
        <f>IF(Table1[[#This Row],[Income]]&gt;=70000,"HIGH INCOME","LOW INCOME")</f>
        <v>LOW INCOME</v>
      </c>
      <c r="AO540" s="1" t="str">
        <f>IF(Table1[[#This Row],[MNT_TOTAL]]&gt;=900,"HIGH VALUE","LOW VALUE")</f>
        <v>LOW VALUE</v>
      </c>
      <c r="AP5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40" s="1"/>
      <c r="AR540" s="1"/>
    </row>
    <row r="541" spans="1:44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42</v>
      </c>
      <c r="X541">
        <v>2644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677</v>
      </c>
      <c r="AJ541">
        <v>559</v>
      </c>
      <c r="AK541">
        <v>0</v>
      </c>
      <c r="AL541">
        <f t="shared" si="8"/>
        <v>795</v>
      </c>
      <c r="AM541">
        <f>IF(OR(Table1[[#This Row],[marital_Married]]=1,Table1[[#This Row],[marital_Together]]=1),1,0)</f>
        <v>0</v>
      </c>
      <c r="AN541" t="str">
        <f>IF(Table1[[#This Row],[Income]]&gt;=70000,"HIGH INCOME","LOW INCOME")</f>
        <v>LOW INCOME</v>
      </c>
      <c r="AO541" s="1" t="str">
        <f>IF(Table1[[#This Row],[MNT_TOTAL]]&gt;=900,"HIGH VALUE","LOW VALUE")</f>
        <v>LOW VALUE</v>
      </c>
      <c r="AP5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41" s="1"/>
      <c r="AR541" s="1"/>
    </row>
    <row r="542" spans="1:44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38</v>
      </c>
      <c r="X542">
        <v>2609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1661</v>
      </c>
      <c r="AJ542">
        <v>1550</v>
      </c>
      <c r="AK542">
        <v>1</v>
      </c>
      <c r="AL542">
        <f t="shared" si="8"/>
        <v>1772</v>
      </c>
      <c r="AM542">
        <f>IF(OR(Table1[[#This Row],[marital_Married]]=1,Table1[[#This Row],[marital_Together]]=1),1,0)</f>
        <v>1</v>
      </c>
      <c r="AN542" t="str">
        <f>IF(Table1[[#This Row],[Income]]&gt;=70000,"HIGH INCOME","LOW INCOME")</f>
        <v>HIGH INCOME</v>
      </c>
      <c r="AO542" s="1" t="str">
        <f>IF(Table1[[#This Row],[MNT_TOTAL]]&gt;=900,"HIGH VALUE","LOW VALUE")</f>
        <v>HIGH VALUE</v>
      </c>
      <c r="AP5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42" s="1"/>
      <c r="AR542" s="1"/>
    </row>
    <row r="543" spans="1:44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50</v>
      </c>
      <c r="X543">
        <v>2489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47</v>
      </c>
      <c r="AJ543">
        <v>30</v>
      </c>
      <c r="AK543">
        <v>0</v>
      </c>
      <c r="AL543">
        <f t="shared" si="8"/>
        <v>64</v>
      </c>
      <c r="AM543">
        <f>IF(OR(Table1[[#This Row],[marital_Married]]=1,Table1[[#This Row],[marital_Together]]=1),1,0)</f>
        <v>1</v>
      </c>
      <c r="AN543" t="str">
        <f>IF(Table1[[#This Row],[Income]]&gt;=70000,"HIGH INCOME","LOW INCOME")</f>
        <v>LOW INCOME</v>
      </c>
      <c r="AO543" s="1" t="str">
        <f>IF(Table1[[#This Row],[MNT_TOTAL]]&gt;=900,"HIGH VALUE","LOW VALUE")</f>
        <v>LOW VALUE</v>
      </c>
      <c r="AP5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43" s="1"/>
      <c r="AR543" s="1"/>
    </row>
    <row r="544" spans="1:44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61</v>
      </c>
      <c r="X544">
        <v>2562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1924</v>
      </c>
      <c r="AJ544">
        <v>1891</v>
      </c>
      <c r="AK544">
        <v>4</v>
      </c>
      <c r="AL544">
        <f t="shared" si="8"/>
        <v>1957</v>
      </c>
      <c r="AM544">
        <f>IF(OR(Table1[[#This Row],[marital_Married]]=1,Table1[[#This Row],[marital_Together]]=1),1,0)</f>
        <v>1</v>
      </c>
      <c r="AN544" t="str">
        <f>IF(Table1[[#This Row],[Income]]&gt;=70000,"HIGH INCOME","LOW INCOME")</f>
        <v>HIGH INCOME</v>
      </c>
      <c r="AO544" s="1" t="str">
        <f>IF(Table1[[#This Row],[MNT_TOTAL]]&gt;=900,"HIGH VALUE","LOW VALUE")</f>
        <v>HIGH VALUE</v>
      </c>
      <c r="AP5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44" s="1"/>
      <c r="AR544" s="1"/>
    </row>
    <row r="545" spans="1:44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42</v>
      </c>
      <c r="X545">
        <v>2452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66</v>
      </c>
      <c r="AJ545">
        <v>54</v>
      </c>
      <c r="AK545">
        <v>0</v>
      </c>
      <c r="AL545">
        <f t="shared" si="8"/>
        <v>78</v>
      </c>
      <c r="AM545">
        <f>IF(OR(Table1[[#This Row],[marital_Married]]=1,Table1[[#This Row],[marital_Together]]=1),1,0)</f>
        <v>1</v>
      </c>
      <c r="AN545" t="str">
        <f>IF(Table1[[#This Row],[Income]]&gt;=70000,"HIGH INCOME","LOW INCOME")</f>
        <v>LOW INCOME</v>
      </c>
      <c r="AO545" s="1" t="str">
        <f>IF(Table1[[#This Row],[MNT_TOTAL]]&gt;=900,"HIGH VALUE","LOW VALUE")</f>
        <v>LOW VALUE</v>
      </c>
      <c r="AP5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45" s="1"/>
      <c r="AR545" s="1"/>
    </row>
    <row r="546" spans="1:44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40</v>
      </c>
      <c r="X546">
        <v>2537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1534</v>
      </c>
      <c r="AJ546">
        <v>1496</v>
      </c>
      <c r="AK546">
        <v>0</v>
      </c>
      <c r="AL546">
        <f t="shared" si="8"/>
        <v>1572</v>
      </c>
      <c r="AM546">
        <f>IF(OR(Table1[[#This Row],[marital_Married]]=1,Table1[[#This Row],[marital_Together]]=1),1,0)</f>
        <v>0</v>
      </c>
      <c r="AN546" t="str">
        <f>IF(Table1[[#This Row],[Income]]&gt;=70000,"HIGH INCOME","LOW INCOME")</f>
        <v>HIGH INCOME</v>
      </c>
      <c r="AO546" s="1" t="str">
        <f>IF(Table1[[#This Row],[MNT_TOTAL]]&gt;=900,"HIGH VALUE","LOW VALUE")</f>
        <v>HIGH VALUE</v>
      </c>
      <c r="AP5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46" s="1"/>
      <c r="AR546" s="1"/>
    </row>
    <row r="547" spans="1:44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49</v>
      </c>
      <c r="X547">
        <v>2528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758</v>
      </c>
      <c r="AJ547">
        <v>721</v>
      </c>
      <c r="AK547">
        <v>0</v>
      </c>
      <c r="AL547">
        <f t="shared" si="8"/>
        <v>795</v>
      </c>
      <c r="AM547">
        <f>IF(OR(Table1[[#This Row],[marital_Married]]=1,Table1[[#This Row],[marital_Together]]=1),1,0)</f>
        <v>1</v>
      </c>
      <c r="AN547" t="str">
        <f>IF(Table1[[#This Row],[Income]]&gt;=70000,"HIGH INCOME","LOW INCOME")</f>
        <v>HIGH INCOME</v>
      </c>
      <c r="AO547" s="1" t="str">
        <f>IF(Table1[[#This Row],[MNT_TOTAL]]&gt;=900,"HIGH VALUE","LOW VALUE")</f>
        <v>LOW VALUE</v>
      </c>
      <c r="AP5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47" s="1"/>
      <c r="AR547" s="1"/>
    </row>
    <row r="548" spans="1:44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50</v>
      </c>
      <c r="X548">
        <v>2324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806</v>
      </c>
      <c r="AJ548">
        <v>723</v>
      </c>
      <c r="AK548">
        <v>0</v>
      </c>
      <c r="AL548">
        <f t="shared" si="8"/>
        <v>889</v>
      </c>
      <c r="AM548">
        <f>IF(OR(Table1[[#This Row],[marital_Married]]=1,Table1[[#This Row],[marital_Together]]=1),1,0)</f>
        <v>1</v>
      </c>
      <c r="AN548" t="str">
        <f>IF(Table1[[#This Row],[Income]]&gt;=70000,"HIGH INCOME","LOW INCOME")</f>
        <v>LOW INCOME</v>
      </c>
      <c r="AO548" s="1" t="str">
        <f>IF(Table1[[#This Row],[MNT_TOTAL]]&gt;=900,"HIGH VALUE","LOW VALUE")</f>
        <v>LOW VALUE</v>
      </c>
      <c r="AP5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48" s="1"/>
      <c r="AR548" s="1"/>
    </row>
    <row r="549" spans="1:44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57</v>
      </c>
      <c r="X549">
        <v>2395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307</v>
      </c>
      <c r="AJ549">
        <v>283</v>
      </c>
      <c r="AK549">
        <v>0</v>
      </c>
      <c r="AL549">
        <f t="shared" si="8"/>
        <v>331</v>
      </c>
      <c r="AM549">
        <f>IF(OR(Table1[[#This Row],[marital_Married]]=1,Table1[[#This Row],[marital_Together]]=1),1,0)</f>
        <v>0</v>
      </c>
      <c r="AN549" t="str">
        <f>IF(Table1[[#This Row],[Income]]&gt;=70000,"HIGH INCOME","LOW INCOME")</f>
        <v>LOW INCOME</v>
      </c>
      <c r="AO549" s="1" t="str">
        <f>IF(Table1[[#This Row],[MNT_TOTAL]]&gt;=900,"HIGH VALUE","LOW VALUE")</f>
        <v>LOW VALUE</v>
      </c>
      <c r="AP5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49" s="1"/>
      <c r="AR549" s="1"/>
    </row>
    <row r="550" spans="1:44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70</v>
      </c>
      <c r="X550">
        <v>2181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225</v>
      </c>
      <c r="AJ550">
        <v>185</v>
      </c>
      <c r="AK550">
        <v>0</v>
      </c>
      <c r="AL550">
        <f t="shared" si="8"/>
        <v>265</v>
      </c>
      <c r="AM550">
        <f>IF(OR(Table1[[#This Row],[marital_Married]]=1,Table1[[#This Row],[marital_Together]]=1),1,0)</f>
        <v>1</v>
      </c>
      <c r="AN550" t="str">
        <f>IF(Table1[[#This Row],[Income]]&gt;=70000,"HIGH INCOME","LOW INCOME")</f>
        <v>LOW INCOME</v>
      </c>
      <c r="AO550" s="1" t="str">
        <f>IF(Table1[[#This Row],[MNT_TOTAL]]&gt;=900,"HIGH VALUE","LOW VALUE")</f>
        <v>LOW VALUE</v>
      </c>
      <c r="AP5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0" s="1"/>
      <c r="AR550" s="1"/>
    </row>
    <row r="551" spans="1:44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58</v>
      </c>
      <c r="X551">
        <v>2730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1023</v>
      </c>
      <c r="AJ551">
        <v>981</v>
      </c>
      <c r="AK551">
        <v>0</v>
      </c>
      <c r="AL551">
        <f t="shared" si="8"/>
        <v>1065</v>
      </c>
      <c r="AM551">
        <f>IF(OR(Table1[[#This Row],[marital_Married]]=1,Table1[[#This Row],[marital_Together]]=1),1,0)</f>
        <v>0</v>
      </c>
      <c r="AN551" t="str">
        <f>IF(Table1[[#This Row],[Income]]&gt;=70000,"HIGH INCOME","LOW INCOME")</f>
        <v>LOW INCOME</v>
      </c>
      <c r="AO551" s="1" t="str">
        <f>IF(Table1[[#This Row],[MNT_TOTAL]]&gt;=900,"HIGH VALUE","LOW VALUE")</f>
        <v>HIGH VALUE</v>
      </c>
      <c r="AP5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51" s="1"/>
      <c r="AR551" s="1"/>
    </row>
    <row r="552" spans="1:44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69</v>
      </c>
      <c r="X552">
        <v>2454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10</v>
      </c>
      <c r="AJ552">
        <v>9</v>
      </c>
      <c r="AK552">
        <v>0</v>
      </c>
      <c r="AL552">
        <f t="shared" si="8"/>
        <v>11</v>
      </c>
      <c r="AM552">
        <f>IF(OR(Table1[[#This Row],[marital_Married]]=1,Table1[[#This Row],[marital_Together]]=1),1,0)</f>
        <v>1</v>
      </c>
      <c r="AN552" t="str">
        <f>IF(Table1[[#This Row],[Income]]&gt;=70000,"HIGH INCOME","LOW INCOME")</f>
        <v>LOW INCOME</v>
      </c>
      <c r="AO552" s="1" t="str">
        <f>IF(Table1[[#This Row],[MNT_TOTAL]]&gt;=900,"HIGH VALUE","LOW VALUE")</f>
        <v>LOW VALUE</v>
      </c>
      <c r="AP5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2" s="1"/>
      <c r="AR552" s="1"/>
    </row>
    <row r="553" spans="1:44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41</v>
      </c>
      <c r="X553">
        <v>2518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17</v>
      </c>
      <c r="AJ553">
        <v>13</v>
      </c>
      <c r="AK553">
        <v>0</v>
      </c>
      <c r="AL553">
        <f t="shared" si="8"/>
        <v>21</v>
      </c>
      <c r="AM553">
        <f>IF(OR(Table1[[#This Row],[marital_Married]]=1,Table1[[#This Row],[marital_Together]]=1),1,0)</f>
        <v>0</v>
      </c>
      <c r="AN553" t="str">
        <f>IF(Table1[[#This Row],[Income]]&gt;=70000,"HIGH INCOME","LOW INCOME")</f>
        <v>LOW INCOME</v>
      </c>
      <c r="AO553" s="1" t="str">
        <f>IF(Table1[[#This Row],[MNT_TOTAL]]&gt;=900,"HIGH VALUE","LOW VALUE")</f>
        <v>LOW VALUE</v>
      </c>
      <c r="AP5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53" s="1"/>
      <c r="AR553" s="1"/>
    </row>
    <row r="554" spans="1:44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50</v>
      </c>
      <c r="X554">
        <v>2728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16</v>
      </c>
      <c r="AJ554">
        <v>15</v>
      </c>
      <c r="AK554">
        <v>0</v>
      </c>
      <c r="AL554">
        <f t="shared" si="8"/>
        <v>17</v>
      </c>
      <c r="AM554">
        <f>IF(OR(Table1[[#This Row],[marital_Married]]=1,Table1[[#This Row],[marital_Together]]=1),1,0)</f>
        <v>1</v>
      </c>
      <c r="AN554" t="str">
        <f>IF(Table1[[#This Row],[Income]]&gt;=70000,"HIGH INCOME","LOW INCOME")</f>
        <v>LOW INCOME</v>
      </c>
      <c r="AO554" s="1" t="str">
        <f>IF(Table1[[#This Row],[MNT_TOTAL]]&gt;=900,"HIGH VALUE","LOW VALUE")</f>
        <v>LOW VALUE</v>
      </c>
      <c r="AP5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4" s="1"/>
      <c r="AR554" s="1"/>
    </row>
    <row r="555" spans="1:44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46</v>
      </c>
      <c r="X555">
        <v>2814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263</v>
      </c>
      <c r="AJ555">
        <v>157</v>
      </c>
      <c r="AK555">
        <v>0</v>
      </c>
      <c r="AL555">
        <f t="shared" si="8"/>
        <v>369</v>
      </c>
      <c r="AM555">
        <f>IF(OR(Table1[[#This Row],[marital_Married]]=1,Table1[[#This Row],[marital_Together]]=1),1,0)</f>
        <v>1</v>
      </c>
      <c r="AN555" t="str">
        <f>IF(Table1[[#This Row],[Income]]&gt;=70000,"HIGH INCOME","LOW INCOME")</f>
        <v>LOW INCOME</v>
      </c>
      <c r="AO555" s="1" t="str">
        <f>IF(Table1[[#This Row],[MNT_TOTAL]]&gt;=900,"HIGH VALUE","LOW VALUE")</f>
        <v>LOW VALUE</v>
      </c>
      <c r="AP5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5" s="1"/>
      <c r="AR555" s="1"/>
    </row>
    <row r="556" spans="1:44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52</v>
      </c>
      <c r="X556">
        <v>2312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37</v>
      </c>
      <c r="AJ556">
        <v>36</v>
      </c>
      <c r="AK556">
        <v>0</v>
      </c>
      <c r="AL556">
        <f t="shared" si="8"/>
        <v>38</v>
      </c>
      <c r="AM556">
        <f>IF(OR(Table1[[#This Row],[marital_Married]]=1,Table1[[#This Row],[marital_Together]]=1),1,0)</f>
        <v>1</v>
      </c>
      <c r="AN556" t="str">
        <f>IF(Table1[[#This Row],[Income]]&gt;=70000,"HIGH INCOME","LOW INCOME")</f>
        <v>LOW INCOME</v>
      </c>
      <c r="AO556" s="1" t="str">
        <f>IF(Table1[[#This Row],[MNT_TOTAL]]&gt;=900,"HIGH VALUE","LOW VALUE")</f>
        <v>LOW VALUE</v>
      </c>
      <c r="AP5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6" s="1"/>
      <c r="AR556" s="1"/>
    </row>
    <row r="557" spans="1:44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42</v>
      </c>
      <c r="X557">
        <v>2448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153</v>
      </c>
      <c r="AJ557">
        <v>129</v>
      </c>
      <c r="AK557">
        <v>0</v>
      </c>
      <c r="AL557">
        <f t="shared" si="8"/>
        <v>177</v>
      </c>
      <c r="AM557">
        <f>IF(OR(Table1[[#This Row],[marital_Married]]=1,Table1[[#This Row],[marital_Together]]=1),1,0)</f>
        <v>0</v>
      </c>
      <c r="AN557" t="str">
        <f>IF(Table1[[#This Row],[Income]]&gt;=70000,"HIGH INCOME","LOW INCOME")</f>
        <v>LOW INCOME</v>
      </c>
      <c r="AO557" s="1" t="str">
        <f>IF(Table1[[#This Row],[MNT_TOTAL]]&gt;=900,"HIGH VALUE","LOW VALUE")</f>
        <v>LOW VALUE</v>
      </c>
      <c r="AP5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57" s="1"/>
      <c r="AR557" s="1"/>
    </row>
    <row r="558" spans="1:44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50</v>
      </c>
      <c r="X558">
        <v>2491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259</v>
      </c>
      <c r="AJ558">
        <v>239</v>
      </c>
      <c r="AK558">
        <v>0</v>
      </c>
      <c r="AL558">
        <f t="shared" si="8"/>
        <v>279</v>
      </c>
      <c r="AM558">
        <f>IF(OR(Table1[[#This Row],[marital_Married]]=1,Table1[[#This Row],[marital_Together]]=1),1,0)</f>
        <v>1</v>
      </c>
      <c r="AN558" t="str">
        <f>IF(Table1[[#This Row],[Income]]&gt;=70000,"HIGH INCOME","LOW INCOME")</f>
        <v>LOW INCOME</v>
      </c>
      <c r="AO558" s="1" t="str">
        <f>IF(Table1[[#This Row],[MNT_TOTAL]]&gt;=900,"HIGH VALUE","LOW VALUE")</f>
        <v>LOW VALUE</v>
      </c>
      <c r="AP5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8" s="1"/>
      <c r="AR558" s="1"/>
    </row>
    <row r="559" spans="1:44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39</v>
      </c>
      <c r="X559">
        <v>2429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62</v>
      </c>
      <c r="AJ559">
        <v>62</v>
      </c>
      <c r="AK559">
        <v>0</v>
      </c>
      <c r="AL559">
        <f t="shared" si="8"/>
        <v>62</v>
      </c>
      <c r="AM559">
        <f>IF(OR(Table1[[#This Row],[marital_Married]]=1,Table1[[#This Row],[marital_Together]]=1),1,0)</f>
        <v>1</v>
      </c>
      <c r="AN559" t="str">
        <f>IF(Table1[[#This Row],[Income]]&gt;=70000,"HIGH INCOME","LOW INCOME")</f>
        <v>LOW INCOME</v>
      </c>
      <c r="AO559" s="1" t="str">
        <f>IF(Table1[[#This Row],[MNT_TOTAL]]&gt;=900,"HIGH VALUE","LOW VALUE")</f>
        <v>LOW VALUE</v>
      </c>
      <c r="AP5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59" s="1"/>
      <c r="AR559" s="1"/>
    </row>
    <row r="560" spans="1:44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1</v>
      </c>
      <c r="W560">
        <v>43</v>
      </c>
      <c r="X560">
        <v>2673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1206</v>
      </c>
      <c r="AJ560">
        <v>1182</v>
      </c>
      <c r="AK560">
        <v>3</v>
      </c>
      <c r="AL560">
        <f t="shared" si="8"/>
        <v>1230</v>
      </c>
      <c r="AM560">
        <f>IF(OR(Table1[[#This Row],[marital_Married]]=1,Table1[[#This Row],[marital_Together]]=1),1,0)</f>
        <v>1</v>
      </c>
      <c r="AN560" t="str">
        <f>IF(Table1[[#This Row],[Income]]&gt;=70000,"HIGH INCOME","LOW INCOME")</f>
        <v>LOW INCOME</v>
      </c>
      <c r="AO560" s="1" t="str">
        <f>IF(Table1[[#This Row],[MNT_TOTAL]]&gt;=900,"HIGH VALUE","LOW VALUE")</f>
        <v>HIGH VALUE</v>
      </c>
      <c r="AP5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60" s="1"/>
      <c r="AR560" s="1"/>
    </row>
    <row r="561" spans="1:44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52</v>
      </c>
      <c r="X561">
        <v>2248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152</v>
      </c>
      <c r="AJ561">
        <v>122</v>
      </c>
      <c r="AK561">
        <v>0</v>
      </c>
      <c r="AL561">
        <f t="shared" si="8"/>
        <v>182</v>
      </c>
      <c r="AM561">
        <f>IF(OR(Table1[[#This Row],[marital_Married]]=1,Table1[[#This Row],[marital_Together]]=1),1,0)</f>
        <v>1</v>
      </c>
      <c r="AN561" t="str">
        <f>IF(Table1[[#This Row],[Income]]&gt;=70000,"HIGH INCOME","LOW INCOME")</f>
        <v>LOW INCOME</v>
      </c>
      <c r="AO561" s="1" t="str">
        <f>IF(Table1[[#This Row],[MNT_TOTAL]]&gt;=900,"HIGH VALUE","LOW VALUE")</f>
        <v>LOW VALUE</v>
      </c>
      <c r="AP5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1" s="1"/>
      <c r="AR561" s="1"/>
    </row>
    <row r="562" spans="1:44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50</v>
      </c>
      <c r="X562">
        <v>2469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42</v>
      </c>
      <c r="AJ562">
        <v>35</v>
      </c>
      <c r="AK562">
        <v>0</v>
      </c>
      <c r="AL562">
        <f t="shared" si="8"/>
        <v>49</v>
      </c>
      <c r="AM562">
        <f>IF(OR(Table1[[#This Row],[marital_Married]]=1,Table1[[#This Row],[marital_Together]]=1),1,0)</f>
        <v>1</v>
      </c>
      <c r="AN562" t="str">
        <f>IF(Table1[[#This Row],[Income]]&gt;=70000,"HIGH INCOME","LOW INCOME")</f>
        <v>LOW INCOME</v>
      </c>
      <c r="AO562" s="1" t="str">
        <f>IF(Table1[[#This Row],[MNT_TOTAL]]&gt;=900,"HIGH VALUE","LOW VALUE")</f>
        <v>LOW VALUE</v>
      </c>
      <c r="AP5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2" s="1"/>
      <c r="AR562" s="1"/>
    </row>
    <row r="563" spans="1:44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54</v>
      </c>
      <c r="X563">
        <v>2445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67</v>
      </c>
      <c r="AJ563">
        <v>59</v>
      </c>
      <c r="AK563">
        <v>0</v>
      </c>
      <c r="AL563">
        <f t="shared" si="8"/>
        <v>75</v>
      </c>
      <c r="AM563">
        <f>IF(OR(Table1[[#This Row],[marital_Married]]=1,Table1[[#This Row],[marital_Together]]=1),1,0)</f>
        <v>1</v>
      </c>
      <c r="AN563" t="str">
        <f>IF(Table1[[#This Row],[Income]]&gt;=70000,"HIGH INCOME","LOW INCOME")</f>
        <v>LOW INCOME</v>
      </c>
      <c r="AO563" s="1" t="str">
        <f>IF(Table1[[#This Row],[MNT_TOTAL]]&gt;=900,"HIGH VALUE","LOW VALUE")</f>
        <v>LOW VALUE</v>
      </c>
      <c r="AP5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3" s="1"/>
      <c r="AR563" s="1"/>
    </row>
    <row r="564" spans="1:44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64</v>
      </c>
      <c r="X564">
        <v>2514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223</v>
      </c>
      <c r="AJ564">
        <v>219</v>
      </c>
      <c r="AK564">
        <v>0</v>
      </c>
      <c r="AL564">
        <f t="shared" si="8"/>
        <v>227</v>
      </c>
      <c r="AM564">
        <f>IF(OR(Table1[[#This Row],[marital_Married]]=1,Table1[[#This Row],[marital_Together]]=1),1,0)</f>
        <v>1</v>
      </c>
      <c r="AN564" t="str">
        <f>IF(Table1[[#This Row],[Income]]&gt;=70000,"HIGH INCOME","LOW INCOME")</f>
        <v>LOW INCOME</v>
      </c>
      <c r="AO564" s="1" t="str">
        <f>IF(Table1[[#This Row],[MNT_TOTAL]]&gt;=900,"HIGH VALUE","LOW VALUE")</f>
        <v>LOW VALUE</v>
      </c>
      <c r="AP5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4" s="1"/>
      <c r="AR564" s="1"/>
    </row>
    <row r="565" spans="1:44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46</v>
      </c>
      <c r="X565">
        <v>2755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213</v>
      </c>
      <c r="AJ565">
        <v>211</v>
      </c>
      <c r="AK565">
        <v>1</v>
      </c>
      <c r="AL565">
        <f t="shared" si="8"/>
        <v>215</v>
      </c>
      <c r="AM565">
        <f>IF(OR(Table1[[#This Row],[marital_Married]]=1,Table1[[#This Row],[marital_Together]]=1),1,0)</f>
        <v>1</v>
      </c>
      <c r="AN565" t="str">
        <f>IF(Table1[[#This Row],[Income]]&gt;=70000,"HIGH INCOME","LOW INCOME")</f>
        <v>LOW INCOME</v>
      </c>
      <c r="AO565" s="1" t="str">
        <f>IF(Table1[[#This Row],[MNT_TOTAL]]&gt;=900,"HIGH VALUE","LOW VALUE")</f>
        <v>LOW VALUE</v>
      </c>
      <c r="AP5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5" s="1"/>
      <c r="AR565" s="1"/>
    </row>
    <row r="566" spans="1:44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69</v>
      </c>
      <c r="X566">
        <v>2627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345</v>
      </c>
      <c r="AJ566">
        <v>246</v>
      </c>
      <c r="AK566">
        <v>0</v>
      </c>
      <c r="AL566">
        <f t="shared" si="8"/>
        <v>444</v>
      </c>
      <c r="AM566">
        <f>IF(OR(Table1[[#This Row],[marital_Married]]=1,Table1[[#This Row],[marital_Together]]=1),1,0)</f>
        <v>1</v>
      </c>
      <c r="AN566" t="str">
        <f>IF(Table1[[#This Row],[Income]]&gt;=70000,"HIGH INCOME","LOW INCOME")</f>
        <v>LOW INCOME</v>
      </c>
      <c r="AO566" s="1" t="str">
        <f>IF(Table1[[#This Row],[MNT_TOTAL]]&gt;=900,"HIGH VALUE","LOW VALUE")</f>
        <v>LOW VALUE</v>
      </c>
      <c r="AP5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6" s="1"/>
      <c r="AR566" s="1"/>
    </row>
    <row r="567" spans="1:44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53</v>
      </c>
      <c r="X567">
        <v>2411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37</v>
      </c>
      <c r="AJ567">
        <v>27</v>
      </c>
      <c r="AK567">
        <v>0</v>
      </c>
      <c r="AL567">
        <f t="shared" si="8"/>
        <v>47</v>
      </c>
      <c r="AM567">
        <f>IF(OR(Table1[[#This Row],[marital_Married]]=1,Table1[[#This Row],[marital_Together]]=1),1,0)</f>
        <v>1</v>
      </c>
      <c r="AN567" t="str">
        <f>IF(Table1[[#This Row],[Income]]&gt;=70000,"HIGH INCOME","LOW INCOME")</f>
        <v>LOW INCOME</v>
      </c>
      <c r="AO567" s="1" t="str">
        <f>IF(Table1[[#This Row],[MNT_TOTAL]]&gt;=900,"HIGH VALUE","LOW VALUE")</f>
        <v>LOW VALUE</v>
      </c>
      <c r="AP5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7" s="1"/>
      <c r="AR567" s="1"/>
    </row>
    <row r="568" spans="1:44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69</v>
      </c>
      <c r="X568">
        <v>2599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91</v>
      </c>
      <c r="AJ568">
        <v>39</v>
      </c>
      <c r="AK568">
        <v>0</v>
      </c>
      <c r="AL568">
        <f t="shared" si="8"/>
        <v>143</v>
      </c>
      <c r="AM568">
        <f>IF(OR(Table1[[#This Row],[marital_Married]]=1,Table1[[#This Row],[marital_Together]]=1),1,0)</f>
        <v>1</v>
      </c>
      <c r="AN568" t="str">
        <f>IF(Table1[[#This Row],[Income]]&gt;=70000,"HIGH INCOME","LOW INCOME")</f>
        <v>LOW INCOME</v>
      </c>
      <c r="AO568" s="1" t="str">
        <f>IF(Table1[[#This Row],[MNT_TOTAL]]&gt;=900,"HIGH VALUE","LOW VALUE")</f>
        <v>LOW VALUE</v>
      </c>
      <c r="AP5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8" s="1"/>
      <c r="AR568" s="1"/>
    </row>
    <row r="569" spans="1:44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37</v>
      </c>
      <c r="X569">
        <v>2246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53</v>
      </c>
      <c r="AJ569">
        <v>51</v>
      </c>
      <c r="AK569">
        <v>0</v>
      </c>
      <c r="AL569">
        <f t="shared" si="8"/>
        <v>55</v>
      </c>
      <c r="AM569">
        <f>IF(OR(Table1[[#This Row],[marital_Married]]=1,Table1[[#This Row],[marital_Together]]=1),1,0)</f>
        <v>1</v>
      </c>
      <c r="AN569" t="str">
        <f>IF(Table1[[#This Row],[Income]]&gt;=70000,"HIGH INCOME","LOW INCOME")</f>
        <v>LOW INCOME</v>
      </c>
      <c r="AO569" s="1" t="str">
        <f>IF(Table1[[#This Row],[MNT_TOTAL]]&gt;=900,"HIGH VALUE","LOW VALUE")</f>
        <v>LOW VALUE</v>
      </c>
      <c r="AP5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69" s="1"/>
      <c r="AR569" s="1"/>
    </row>
    <row r="570" spans="1:44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49</v>
      </c>
      <c r="X570">
        <v>2231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54</v>
      </c>
      <c r="AJ570">
        <v>45</v>
      </c>
      <c r="AK570">
        <v>0</v>
      </c>
      <c r="AL570">
        <f t="shared" si="8"/>
        <v>63</v>
      </c>
      <c r="AM570">
        <f>IF(OR(Table1[[#This Row],[marital_Married]]=1,Table1[[#This Row],[marital_Together]]=1),1,0)</f>
        <v>1</v>
      </c>
      <c r="AN570" t="str">
        <f>IF(Table1[[#This Row],[Income]]&gt;=70000,"HIGH INCOME","LOW INCOME")</f>
        <v>LOW INCOME</v>
      </c>
      <c r="AO570" s="1" t="str">
        <f>IF(Table1[[#This Row],[MNT_TOTAL]]&gt;=900,"HIGH VALUE","LOW VALUE")</f>
        <v>LOW VALUE</v>
      </c>
      <c r="AP5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0" s="1"/>
      <c r="AR570" s="1"/>
    </row>
    <row r="571" spans="1:44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1</v>
      </c>
      <c r="W571">
        <v>65</v>
      </c>
      <c r="X571">
        <v>2803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1643</v>
      </c>
      <c r="AJ571">
        <v>1419</v>
      </c>
      <c r="AK571">
        <v>3</v>
      </c>
      <c r="AL571">
        <f t="shared" si="8"/>
        <v>1867</v>
      </c>
      <c r="AM571">
        <f>IF(OR(Table1[[#This Row],[marital_Married]]=1,Table1[[#This Row],[marital_Together]]=1),1,0)</f>
        <v>0</v>
      </c>
      <c r="AN571" t="str">
        <f>IF(Table1[[#This Row],[Income]]&gt;=70000,"HIGH INCOME","LOW INCOME")</f>
        <v>HIGH INCOME</v>
      </c>
      <c r="AO571" s="1" t="str">
        <f>IF(Table1[[#This Row],[MNT_TOTAL]]&gt;=900,"HIGH VALUE","LOW VALUE")</f>
        <v>HIGH VALUE</v>
      </c>
      <c r="AP5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71" s="1"/>
      <c r="AR571" s="1"/>
    </row>
    <row r="572" spans="1:44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59</v>
      </c>
      <c r="X572">
        <v>2447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600</v>
      </c>
      <c r="AJ572">
        <v>589</v>
      </c>
      <c r="AK572">
        <v>0</v>
      </c>
      <c r="AL572">
        <f t="shared" si="8"/>
        <v>611</v>
      </c>
      <c r="AM572">
        <f>IF(OR(Table1[[#This Row],[marital_Married]]=1,Table1[[#This Row],[marital_Together]]=1),1,0)</f>
        <v>1</v>
      </c>
      <c r="AN572" t="str">
        <f>IF(Table1[[#This Row],[Income]]&gt;=70000,"HIGH INCOME","LOW INCOME")</f>
        <v>LOW INCOME</v>
      </c>
      <c r="AO572" s="1" t="str">
        <f>IF(Table1[[#This Row],[MNT_TOTAL]]&gt;=900,"HIGH VALUE","LOW VALUE")</f>
        <v>LOW VALUE</v>
      </c>
      <c r="AP5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2" s="1"/>
      <c r="AR572" s="1"/>
    </row>
    <row r="573" spans="1:44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65</v>
      </c>
      <c r="X573">
        <v>2202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443</v>
      </c>
      <c r="AJ573">
        <v>413</v>
      </c>
      <c r="AK573">
        <v>1</v>
      </c>
      <c r="AL573">
        <f t="shared" si="8"/>
        <v>473</v>
      </c>
      <c r="AM573">
        <f>IF(OR(Table1[[#This Row],[marital_Married]]=1,Table1[[#This Row],[marital_Together]]=1),1,0)</f>
        <v>1</v>
      </c>
      <c r="AN573" t="str">
        <f>IF(Table1[[#This Row],[Income]]&gt;=70000,"HIGH INCOME","LOW INCOME")</f>
        <v>LOW INCOME</v>
      </c>
      <c r="AO573" s="1" t="str">
        <f>IF(Table1[[#This Row],[MNT_TOTAL]]&gt;=900,"HIGH VALUE","LOW VALUE")</f>
        <v>LOW VALUE</v>
      </c>
      <c r="AP5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3" s="1"/>
      <c r="AR573" s="1"/>
    </row>
    <row r="574" spans="1:44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61</v>
      </c>
      <c r="X574">
        <v>2472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33</v>
      </c>
      <c r="AJ574">
        <v>11</v>
      </c>
      <c r="AK574">
        <v>0</v>
      </c>
      <c r="AL574">
        <f t="shared" si="8"/>
        <v>55</v>
      </c>
      <c r="AM574">
        <f>IF(OR(Table1[[#This Row],[marital_Married]]=1,Table1[[#This Row],[marital_Together]]=1),1,0)</f>
        <v>1</v>
      </c>
      <c r="AN574" t="str">
        <f>IF(Table1[[#This Row],[Income]]&gt;=70000,"HIGH INCOME","LOW INCOME")</f>
        <v>LOW INCOME</v>
      </c>
      <c r="AO574" s="1" t="str">
        <f>IF(Table1[[#This Row],[MNT_TOTAL]]&gt;=900,"HIGH VALUE","LOW VALUE")</f>
        <v>LOW VALUE</v>
      </c>
      <c r="AP5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4" s="1"/>
      <c r="AR574" s="1"/>
    </row>
    <row r="575" spans="1:44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36</v>
      </c>
      <c r="X575">
        <v>2784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64</v>
      </c>
      <c r="AJ575">
        <v>47</v>
      </c>
      <c r="AK575">
        <v>0</v>
      </c>
      <c r="AL575">
        <f t="shared" si="8"/>
        <v>81</v>
      </c>
      <c r="AM575">
        <f>IF(OR(Table1[[#This Row],[marital_Married]]=1,Table1[[#This Row],[marital_Together]]=1),1,0)</f>
        <v>0</v>
      </c>
      <c r="AN575" t="str">
        <f>IF(Table1[[#This Row],[Income]]&gt;=70000,"HIGH INCOME","LOW INCOME")</f>
        <v>LOW INCOME</v>
      </c>
      <c r="AO575" s="1" t="str">
        <f>IF(Table1[[#This Row],[MNT_TOTAL]]&gt;=900,"HIGH VALUE","LOW VALUE")</f>
        <v>LOW VALUE</v>
      </c>
      <c r="AP5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75" s="1"/>
      <c r="AR575" s="1"/>
    </row>
    <row r="576" spans="1:44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45</v>
      </c>
      <c r="X576">
        <v>2723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2066</v>
      </c>
      <c r="AJ576">
        <v>2046</v>
      </c>
      <c r="AK576">
        <v>2</v>
      </c>
      <c r="AL576">
        <f t="shared" si="8"/>
        <v>2086</v>
      </c>
      <c r="AM576">
        <f>IF(OR(Table1[[#This Row],[marital_Married]]=1,Table1[[#This Row],[marital_Together]]=1),1,0)</f>
        <v>1</v>
      </c>
      <c r="AN576" t="str">
        <f>IF(Table1[[#This Row],[Income]]&gt;=70000,"HIGH INCOME","LOW INCOME")</f>
        <v>HIGH INCOME</v>
      </c>
      <c r="AO576" s="1" t="str">
        <f>IF(Table1[[#This Row],[MNT_TOTAL]]&gt;=900,"HIGH VALUE","LOW VALUE")</f>
        <v>HIGH VALUE</v>
      </c>
      <c r="AP5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76" s="1"/>
      <c r="AR576" s="1"/>
    </row>
    <row r="577" spans="1:44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55</v>
      </c>
      <c r="X577">
        <v>2390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1313</v>
      </c>
      <c r="AJ577">
        <v>1148</v>
      </c>
      <c r="AK577">
        <v>0</v>
      </c>
      <c r="AL577">
        <f t="shared" si="8"/>
        <v>1478</v>
      </c>
      <c r="AM577">
        <f>IF(OR(Table1[[#This Row],[marital_Married]]=1,Table1[[#This Row],[marital_Together]]=1),1,0)</f>
        <v>0</v>
      </c>
      <c r="AN577" t="str">
        <f>IF(Table1[[#This Row],[Income]]&gt;=70000,"HIGH INCOME","LOW INCOME")</f>
        <v>LOW INCOME</v>
      </c>
      <c r="AO577" s="1" t="str">
        <f>IF(Table1[[#This Row],[MNT_TOTAL]]&gt;=900,"HIGH VALUE","LOW VALUE")</f>
        <v>HIGH VALUE</v>
      </c>
      <c r="AP5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77" s="1"/>
      <c r="AR577" s="1"/>
    </row>
    <row r="578" spans="1:44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43</v>
      </c>
      <c r="X578">
        <v>2309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33</v>
      </c>
      <c r="AJ578">
        <v>17</v>
      </c>
      <c r="AK578">
        <v>0</v>
      </c>
      <c r="AL578">
        <f t="shared" ref="AL578:AL641" si="9">SUM(E578:J578)</f>
        <v>49</v>
      </c>
      <c r="AM578">
        <f>IF(OR(Table1[[#This Row],[marital_Married]]=1,Table1[[#This Row],[marital_Together]]=1),1,0)</f>
        <v>1</v>
      </c>
      <c r="AN578" t="str">
        <f>IF(Table1[[#This Row],[Income]]&gt;=70000,"HIGH INCOME","LOW INCOME")</f>
        <v>LOW INCOME</v>
      </c>
      <c r="AO578" s="1" t="str">
        <f>IF(Table1[[#This Row],[MNT_TOTAL]]&gt;=900,"HIGH VALUE","LOW VALUE")</f>
        <v>LOW VALUE</v>
      </c>
      <c r="AP5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8" s="1"/>
      <c r="AR578" s="1"/>
    </row>
    <row r="579" spans="1:44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48</v>
      </c>
      <c r="X579">
        <v>2450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382</v>
      </c>
      <c r="AJ579">
        <v>382</v>
      </c>
      <c r="AK579">
        <v>0</v>
      </c>
      <c r="AL579">
        <f t="shared" si="9"/>
        <v>382</v>
      </c>
      <c r="AM579">
        <f>IF(OR(Table1[[#This Row],[marital_Married]]=1,Table1[[#This Row],[marital_Together]]=1),1,0)</f>
        <v>1</v>
      </c>
      <c r="AN579" t="str">
        <f>IF(Table1[[#This Row],[Income]]&gt;=70000,"HIGH INCOME","LOW INCOME")</f>
        <v>LOW INCOME</v>
      </c>
      <c r="AO579" s="1" t="str">
        <f>IF(Table1[[#This Row],[MNT_TOTAL]]&gt;=900,"HIGH VALUE","LOW VALUE")</f>
        <v>LOW VALUE</v>
      </c>
      <c r="AP5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79" s="1"/>
      <c r="AR579" s="1"/>
    </row>
    <row r="580" spans="1:44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45</v>
      </c>
      <c r="X580">
        <v>2442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39</v>
      </c>
      <c r="AJ580">
        <v>9</v>
      </c>
      <c r="AK580">
        <v>0</v>
      </c>
      <c r="AL580">
        <f t="shared" si="9"/>
        <v>69</v>
      </c>
      <c r="AM580">
        <f>IF(OR(Table1[[#This Row],[marital_Married]]=1,Table1[[#This Row],[marital_Together]]=1),1,0)</f>
        <v>1</v>
      </c>
      <c r="AN580" t="str">
        <f>IF(Table1[[#This Row],[Income]]&gt;=70000,"HIGH INCOME","LOW INCOME")</f>
        <v>LOW INCOME</v>
      </c>
      <c r="AO580" s="1" t="str">
        <f>IF(Table1[[#This Row],[MNT_TOTAL]]&gt;=900,"HIGH VALUE","LOW VALUE")</f>
        <v>LOW VALUE</v>
      </c>
      <c r="AP5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0" s="1"/>
      <c r="AR580" s="1"/>
    </row>
    <row r="581" spans="1:44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51</v>
      </c>
      <c r="X581">
        <v>2770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54</v>
      </c>
      <c r="AJ581">
        <v>41</v>
      </c>
      <c r="AK581">
        <v>0</v>
      </c>
      <c r="AL581">
        <f t="shared" si="9"/>
        <v>67</v>
      </c>
      <c r="AM581">
        <f>IF(OR(Table1[[#This Row],[marital_Married]]=1,Table1[[#This Row],[marital_Together]]=1),1,0)</f>
        <v>0</v>
      </c>
      <c r="AN581" t="str">
        <f>IF(Table1[[#This Row],[Income]]&gt;=70000,"HIGH INCOME","LOW INCOME")</f>
        <v>LOW INCOME</v>
      </c>
      <c r="AO581" s="1" t="str">
        <f>IF(Table1[[#This Row],[MNT_TOTAL]]&gt;=900,"HIGH VALUE","LOW VALUE")</f>
        <v>LOW VALUE</v>
      </c>
      <c r="AP5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81" s="1"/>
      <c r="AR581" s="1"/>
    </row>
    <row r="582" spans="1:44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51</v>
      </c>
      <c r="X582">
        <v>2412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28</v>
      </c>
      <c r="AJ582">
        <v>26</v>
      </c>
      <c r="AK582">
        <v>0</v>
      </c>
      <c r="AL582">
        <f t="shared" si="9"/>
        <v>30</v>
      </c>
      <c r="AM582">
        <f>IF(OR(Table1[[#This Row],[marital_Married]]=1,Table1[[#This Row],[marital_Together]]=1),1,0)</f>
        <v>1</v>
      </c>
      <c r="AN582" t="str">
        <f>IF(Table1[[#This Row],[Income]]&gt;=70000,"HIGH INCOME","LOW INCOME")</f>
        <v>LOW INCOME</v>
      </c>
      <c r="AO582" s="1" t="str">
        <f>IF(Table1[[#This Row],[MNT_TOTAL]]&gt;=900,"HIGH VALUE","LOW VALUE")</f>
        <v>LOW VALUE</v>
      </c>
      <c r="AP5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2" s="1"/>
      <c r="AR582" s="1"/>
    </row>
    <row r="583" spans="1:44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42</v>
      </c>
      <c r="X583">
        <v>2549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48</v>
      </c>
      <c r="AJ583">
        <v>33</v>
      </c>
      <c r="AK583">
        <v>0</v>
      </c>
      <c r="AL583">
        <f t="shared" si="9"/>
        <v>63</v>
      </c>
      <c r="AM583">
        <f>IF(OR(Table1[[#This Row],[marital_Married]]=1,Table1[[#This Row],[marital_Together]]=1),1,0)</f>
        <v>1</v>
      </c>
      <c r="AN583" t="str">
        <f>IF(Table1[[#This Row],[Income]]&gt;=70000,"HIGH INCOME","LOW INCOME")</f>
        <v>LOW INCOME</v>
      </c>
      <c r="AO583" s="1" t="str">
        <f>IF(Table1[[#This Row],[MNT_TOTAL]]&gt;=900,"HIGH VALUE","LOW VALUE")</f>
        <v>LOW VALUE</v>
      </c>
      <c r="AP5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3" s="1"/>
      <c r="AR583" s="1"/>
    </row>
    <row r="584" spans="1:44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39</v>
      </c>
      <c r="X584">
        <v>2840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75</v>
      </c>
      <c r="AJ584">
        <v>71</v>
      </c>
      <c r="AK584">
        <v>0</v>
      </c>
      <c r="AL584">
        <f t="shared" si="9"/>
        <v>79</v>
      </c>
      <c r="AM584">
        <f>IF(OR(Table1[[#This Row],[marital_Married]]=1,Table1[[#This Row],[marital_Together]]=1),1,0)</f>
        <v>1</v>
      </c>
      <c r="AN584" t="str">
        <f>IF(Table1[[#This Row],[Income]]&gt;=70000,"HIGH INCOME","LOW INCOME")</f>
        <v>LOW INCOME</v>
      </c>
      <c r="AO584" s="1" t="str">
        <f>IF(Table1[[#This Row],[MNT_TOTAL]]&gt;=900,"HIGH VALUE","LOW VALUE")</f>
        <v>LOW VALUE</v>
      </c>
      <c r="AP5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4" s="1"/>
      <c r="AR584" s="1"/>
    </row>
    <row r="585" spans="1:44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59</v>
      </c>
      <c r="X585">
        <v>2652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38</v>
      </c>
      <c r="AJ585">
        <v>34</v>
      </c>
      <c r="AK585">
        <v>0</v>
      </c>
      <c r="AL585">
        <f t="shared" si="9"/>
        <v>42</v>
      </c>
      <c r="AM585">
        <f>IF(OR(Table1[[#This Row],[marital_Married]]=1,Table1[[#This Row],[marital_Together]]=1),1,0)</f>
        <v>0</v>
      </c>
      <c r="AN585" t="str">
        <f>IF(Table1[[#This Row],[Income]]&gt;=70000,"HIGH INCOME","LOW INCOME")</f>
        <v>LOW INCOME</v>
      </c>
      <c r="AO585" s="1" t="str">
        <f>IF(Table1[[#This Row],[MNT_TOTAL]]&gt;=900,"HIGH VALUE","LOW VALUE")</f>
        <v>LOW VALUE</v>
      </c>
      <c r="AP5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85" s="1"/>
      <c r="AR585" s="1"/>
    </row>
    <row r="586" spans="1:44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60</v>
      </c>
      <c r="X586">
        <v>2826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720</v>
      </c>
      <c r="AJ586">
        <v>621</v>
      </c>
      <c r="AK586">
        <v>0</v>
      </c>
      <c r="AL586">
        <f t="shared" si="9"/>
        <v>819</v>
      </c>
      <c r="AM586">
        <f>IF(OR(Table1[[#This Row],[marital_Married]]=1,Table1[[#This Row],[marital_Together]]=1),1,0)</f>
        <v>1</v>
      </c>
      <c r="AN586" t="str">
        <f>IF(Table1[[#This Row],[Income]]&gt;=70000,"HIGH INCOME","LOW INCOME")</f>
        <v>LOW INCOME</v>
      </c>
      <c r="AO586" s="1" t="str">
        <f>IF(Table1[[#This Row],[MNT_TOTAL]]&gt;=900,"HIGH VALUE","LOW VALUE")</f>
        <v>LOW VALUE</v>
      </c>
      <c r="AP5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6" s="1"/>
      <c r="AR586" s="1"/>
    </row>
    <row r="587" spans="1:44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65</v>
      </c>
      <c r="X587">
        <v>2444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1097</v>
      </c>
      <c r="AJ587">
        <v>1043</v>
      </c>
      <c r="AK587">
        <v>0</v>
      </c>
      <c r="AL587">
        <f t="shared" si="9"/>
        <v>1151</v>
      </c>
      <c r="AM587">
        <f>IF(OR(Table1[[#This Row],[marital_Married]]=1,Table1[[#This Row],[marital_Together]]=1),1,0)</f>
        <v>0</v>
      </c>
      <c r="AN587" t="str">
        <f>IF(Table1[[#This Row],[Income]]&gt;=70000,"HIGH INCOME","LOW INCOME")</f>
        <v>HIGH INCOME</v>
      </c>
      <c r="AO587" s="1" t="str">
        <f>IF(Table1[[#This Row],[MNT_TOTAL]]&gt;=900,"HIGH VALUE","LOW VALUE")</f>
        <v>HIGH VALUE</v>
      </c>
      <c r="AP5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587" s="1"/>
      <c r="AR587" s="1"/>
    </row>
    <row r="588" spans="1:44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72</v>
      </c>
      <c r="X588">
        <v>2726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545</v>
      </c>
      <c r="AJ588">
        <v>496</v>
      </c>
      <c r="AK588">
        <v>0</v>
      </c>
      <c r="AL588">
        <f t="shared" si="9"/>
        <v>594</v>
      </c>
      <c r="AM588">
        <f>IF(OR(Table1[[#This Row],[marital_Married]]=1,Table1[[#This Row],[marital_Together]]=1),1,0)</f>
        <v>1</v>
      </c>
      <c r="AN588" t="str">
        <f>IF(Table1[[#This Row],[Income]]&gt;=70000,"HIGH INCOME","LOW INCOME")</f>
        <v>LOW INCOME</v>
      </c>
      <c r="AO588" s="1" t="str">
        <f>IF(Table1[[#This Row],[MNT_TOTAL]]&gt;=900,"HIGH VALUE","LOW VALUE")</f>
        <v>LOW VALUE</v>
      </c>
      <c r="AP5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8" s="1"/>
      <c r="AR588" s="1"/>
    </row>
    <row r="589" spans="1:44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54</v>
      </c>
      <c r="X589">
        <v>2678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115</v>
      </c>
      <c r="AJ589">
        <v>101</v>
      </c>
      <c r="AK589">
        <v>0</v>
      </c>
      <c r="AL589">
        <f t="shared" si="9"/>
        <v>129</v>
      </c>
      <c r="AM589">
        <f>IF(OR(Table1[[#This Row],[marital_Married]]=1,Table1[[#This Row],[marital_Together]]=1),1,0)</f>
        <v>1</v>
      </c>
      <c r="AN589" t="str">
        <f>IF(Table1[[#This Row],[Income]]&gt;=70000,"HIGH INCOME","LOW INCOME")</f>
        <v>LOW INCOME</v>
      </c>
      <c r="AO589" s="1" t="str">
        <f>IF(Table1[[#This Row],[MNT_TOTAL]]&gt;=900,"HIGH VALUE","LOW VALUE")</f>
        <v>LOW VALUE</v>
      </c>
      <c r="AP5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89" s="1"/>
      <c r="AR589" s="1"/>
    </row>
    <row r="590" spans="1:44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34</v>
      </c>
      <c r="X590">
        <v>2706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149</v>
      </c>
      <c r="AJ590">
        <v>85</v>
      </c>
      <c r="AK590">
        <v>0</v>
      </c>
      <c r="AL590">
        <f t="shared" si="9"/>
        <v>213</v>
      </c>
      <c r="AM590">
        <f>IF(OR(Table1[[#This Row],[marital_Married]]=1,Table1[[#This Row],[marital_Together]]=1),1,0)</f>
        <v>0</v>
      </c>
      <c r="AN590" t="str">
        <f>IF(Table1[[#This Row],[Income]]&gt;=70000,"HIGH INCOME","LOW INCOME")</f>
        <v>LOW INCOME</v>
      </c>
      <c r="AO590" s="1" t="str">
        <f>IF(Table1[[#This Row],[MNT_TOTAL]]&gt;=900,"HIGH VALUE","LOW VALUE")</f>
        <v>LOW VALUE</v>
      </c>
      <c r="AP5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0" s="1"/>
      <c r="AR590" s="1"/>
    </row>
    <row r="591" spans="1:44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47</v>
      </c>
      <c r="X591">
        <v>2297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63</v>
      </c>
      <c r="AJ591">
        <v>59</v>
      </c>
      <c r="AK591">
        <v>0</v>
      </c>
      <c r="AL591">
        <f t="shared" si="9"/>
        <v>67</v>
      </c>
      <c r="AM591">
        <f>IF(OR(Table1[[#This Row],[marital_Married]]=1,Table1[[#This Row],[marital_Together]]=1),1,0)</f>
        <v>0</v>
      </c>
      <c r="AN591" t="str">
        <f>IF(Table1[[#This Row],[Income]]&gt;=70000,"HIGH INCOME","LOW INCOME")</f>
        <v>LOW INCOME</v>
      </c>
      <c r="AO591" s="1" t="str">
        <f>IF(Table1[[#This Row],[MNT_TOTAL]]&gt;=900,"HIGH VALUE","LOW VALUE")</f>
        <v>LOW VALUE</v>
      </c>
      <c r="AP5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1" s="1"/>
      <c r="AR591" s="1"/>
    </row>
    <row r="592" spans="1:44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64</v>
      </c>
      <c r="X592">
        <v>2634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27</v>
      </c>
      <c r="AJ592">
        <v>26</v>
      </c>
      <c r="AK592">
        <v>0</v>
      </c>
      <c r="AL592">
        <f t="shared" si="9"/>
        <v>28</v>
      </c>
      <c r="AM592">
        <f>IF(OR(Table1[[#This Row],[marital_Married]]=1,Table1[[#This Row],[marital_Together]]=1),1,0)</f>
        <v>0</v>
      </c>
      <c r="AN592" t="str">
        <f>IF(Table1[[#This Row],[Income]]&gt;=70000,"HIGH INCOME","LOW INCOME")</f>
        <v>LOW INCOME</v>
      </c>
      <c r="AO592" s="1" t="str">
        <f>IF(Table1[[#This Row],[MNT_TOTAL]]&gt;=900,"HIGH VALUE","LOW VALUE")</f>
        <v>LOW VALUE</v>
      </c>
      <c r="AP5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2" s="1"/>
      <c r="AR592" s="1"/>
    </row>
    <row r="593" spans="1:44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45</v>
      </c>
      <c r="X593">
        <v>2770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34</v>
      </c>
      <c r="AJ593">
        <v>23</v>
      </c>
      <c r="AK593">
        <v>0</v>
      </c>
      <c r="AL593">
        <f t="shared" si="9"/>
        <v>45</v>
      </c>
      <c r="AM593">
        <f>IF(OR(Table1[[#This Row],[marital_Married]]=1,Table1[[#This Row],[marital_Together]]=1),1,0)</f>
        <v>1</v>
      </c>
      <c r="AN593" t="str">
        <f>IF(Table1[[#This Row],[Income]]&gt;=70000,"HIGH INCOME","LOW INCOME")</f>
        <v>LOW INCOME</v>
      </c>
      <c r="AO593" s="1" t="str">
        <f>IF(Table1[[#This Row],[MNT_TOTAL]]&gt;=900,"HIGH VALUE","LOW VALUE")</f>
        <v>LOW VALUE</v>
      </c>
      <c r="AP5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93" s="1"/>
      <c r="AR593" s="1"/>
    </row>
    <row r="594" spans="1:44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55</v>
      </c>
      <c r="X594">
        <v>2212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1171</v>
      </c>
      <c r="AJ594">
        <v>1149</v>
      </c>
      <c r="AK594">
        <v>1</v>
      </c>
      <c r="AL594">
        <f t="shared" si="9"/>
        <v>1193</v>
      </c>
      <c r="AM594">
        <f>IF(OR(Table1[[#This Row],[marital_Married]]=1,Table1[[#This Row],[marital_Together]]=1),1,0)</f>
        <v>1</v>
      </c>
      <c r="AN594" t="str">
        <f>IF(Table1[[#This Row],[Income]]&gt;=70000,"HIGH INCOME","LOW INCOME")</f>
        <v>HIGH INCOME</v>
      </c>
      <c r="AO594" s="1" t="str">
        <f>IF(Table1[[#This Row],[MNT_TOTAL]]&gt;=900,"HIGH VALUE","LOW VALUE")</f>
        <v>HIGH VALUE</v>
      </c>
      <c r="AP5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594" s="1"/>
      <c r="AR594" s="1"/>
    </row>
    <row r="595" spans="1:44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51</v>
      </c>
      <c r="X595">
        <v>2473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228</v>
      </c>
      <c r="AJ595">
        <v>188</v>
      </c>
      <c r="AK595">
        <v>0</v>
      </c>
      <c r="AL595">
        <f t="shared" si="9"/>
        <v>268</v>
      </c>
      <c r="AM595">
        <f>IF(OR(Table1[[#This Row],[marital_Married]]=1,Table1[[#This Row],[marital_Together]]=1),1,0)</f>
        <v>0</v>
      </c>
      <c r="AN595" t="str">
        <f>IF(Table1[[#This Row],[Income]]&gt;=70000,"HIGH INCOME","LOW INCOME")</f>
        <v>LOW INCOME</v>
      </c>
      <c r="AO595" s="1" t="str">
        <f>IF(Table1[[#This Row],[MNT_TOTAL]]&gt;=900,"HIGH VALUE","LOW VALUE")</f>
        <v>LOW VALUE</v>
      </c>
      <c r="AP5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5" s="1"/>
      <c r="AR595" s="1"/>
    </row>
    <row r="596" spans="1:44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76</v>
      </c>
      <c r="X596">
        <v>2505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256</v>
      </c>
      <c r="AJ596">
        <v>246</v>
      </c>
      <c r="AK596">
        <v>0</v>
      </c>
      <c r="AL596">
        <f t="shared" si="9"/>
        <v>266</v>
      </c>
      <c r="AM596">
        <f>IF(OR(Table1[[#This Row],[marital_Married]]=1,Table1[[#This Row],[marital_Together]]=1),1,0)</f>
        <v>0</v>
      </c>
      <c r="AN596" t="str">
        <f>IF(Table1[[#This Row],[Income]]&gt;=70000,"HIGH INCOME","LOW INCOME")</f>
        <v>LOW INCOME</v>
      </c>
      <c r="AO596" s="1" t="str">
        <f>IF(Table1[[#This Row],[MNT_TOTAL]]&gt;=900,"HIGH VALUE","LOW VALUE")</f>
        <v>LOW VALUE</v>
      </c>
      <c r="AP5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6" s="1"/>
      <c r="AR596" s="1"/>
    </row>
    <row r="597" spans="1:44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47</v>
      </c>
      <c r="X597">
        <v>2724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22</v>
      </c>
      <c r="AJ597">
        <v>7</v>
      </c>
      <c r="AK597">
        <v>0</v>
      </c>
      <c r="AL597">
        <f t="shared" si="9"/>
        <v>37</v>
      </c>
      <c r="AM597">
        <f>IF(OR(Table1[[#This Row],[marital_Married]]=1,Table1[[#This Row],[marital_Together]]=1),1,0)</f>
        <v>1</v>
      </c>
      <c r="AN597" t="str">
        <f>IF(Table1[[#This Row],[Income]]&gt;=70000,"HIGH INCOME","LOW INCOME")</f>
        <v>LOW INCOME</v>
      </c>
      <c r="AO597" s="1" t="str">
        <f>IF(Table1[[#This Row],[MNT_TOTAL]]&gt;=900,"HIGH VALUE","LOW VALUE")</f>
        <v>LOW VALUE</v>
      </c>
      <c r="AP5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97" s="1"/>
      <c r="AR597" s="1"/>
    </row>
    <row r="598" spans="1:44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53</v>
      </c>
      <c r="X598">
        <v>2403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35</v>
      </c>
      <c r="AJ598">
        <v>33</v>
      </c>
      <c r="AK598">
        <v>0</v>
      </c>
      <c r="AL598">
        <f t="shared" si="9"/>
        <v>37</v>
      </c>
      <c r="AM598">
        <f>IF(OR(Table1[[#This Row],[marital_Married]]=1,Table1[[#This Row],[marital_Together]]=1),1,0)</f>
        <v>1</v>
      </c>
      <c r="AN598" t="str">
        <f>IF(Table1[[#This Row],[Income]]&gt;=70000,"HIGH INCOME","LOW INCOME")</f>
        <v>LOW INCOME</v>
      </c>
      <c r="AO598" s="1" t="str">
        <f>IF(Table1[[#This Row],[MNT_TOTAL]]&gt;=900,"HIGH VALUE","LOW VALUE")</f>
        <v>LOW VALUE</v>
      </c>
      <c r="AP5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598" s="1"/>
      <c r="AR598" s="1"/>
    </row>
    <row r="599" spans="1:44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51</v>
      </c>
      <c r="X599">
        <v>2756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841</v>
      </c>
      <c r="AJ599">
        <v>800</v>
      </c>
      <c r="AK599">
        <v>0</v>
      </c>
      <c r="AL599">
        <f t="shared" si="9"/>
        <v>882</v>
      </c>
      <c r="AM599">
        <f>IF(OR(Table1[[#This Row],[marital_Married]]=1,Table1[[#This Row],[marital_Together]]=1),1,0)</f>
        <v>0</v>
      </c>
      <c r="AN599" t="str">
        <f>IF(Table1[[#This Row],[Income]]&gt;=70000,"HIGH INCOME","LOW INCOME")</f>
        <v>LOW INCOME</v>
      </c>
      <c r="AO599" s="1" t="str">
        <f>IF(Table1[[#This Row],[MNT_TOTAL]]&gt;=900,"HIGH VALUE","LOW VALUE")</f>
        <v>LOW VALUE</v>
      </c>
      <c r="AP5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599" s="1"/>
      <c r="AR599" s="1"/>
    </row>
    <row r="600" spans="1:44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46</v>
      </c>
      <c r="X600">
        <v>2497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349</v>
      </c>
      <c r="AJ600">
        <v>325</v>
      </c>
      <c r="AK600">
        <v>0</v>
      </c>
      <c r="AL600">
        <f t="shared" si="9"/>
        <v>373</v>
      </c>
      <c r="AM600">
        <f>IF(OR(Table1[[#This Row],[marital_Married]]=1,Table1[[#This Row],[marital_Together]]=1),1,0)</f>
        <v>1</v>
      </c>
      <c r="AN600" t="str">
        <f>IF(Table1[[#This Row],[Income]]&gt;=70000,"HIGH INCOME","LOW INCOME")</f>
        <v>LOW INCOME</v>
      </c>
      <c r="AO600" s="1" t="str">
        <f>IF(Table1[[#This Row],[MNT_TOTAL]]&gt;=900,"HIGH VALUE","LOW VALUE")</f>
        <v>LOW VALUE</v>
      </c>
      <c r="AP6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00" s="1"/>
      <c r="AR600" s="1"/>
    </row>
    <row r="601" spans="1:44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55</v>
      </c>
      <c r="X601">
        <v>2578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32</v>
      </c>
      <c r="AJ601">
        <v>29</v>
      </c>
      <c r="AK601">
        <v>0</v>
      </c>
      <c r="AL601">
        <f t="shared" si="9"/>
        <v>35</v>
      </c>
      <c r="AM601">
        <f>IF(OR(Table1[[#This Row],[marital_Married]]=1,Table1[[#This Row],[marital_Together]]=1),1,0)</f>
        <v>0</v>
      </c>
      <c r="AN601" t="str">
        <f>IF(Table1[[#This Row],[Income]]&gt;=70000,"HIGH INCOME","LOW INCOME")</f>
        <v>LOW INCOME</v>
      </c>
      <c r="AO601" s="1" t="str">
        <f>IF(Table1[[#This Row],[MNT_TOTAL]]&gt;=900,"HIGH VALUE","LOW VALUE")</f>
        <v>LOW VALUE</v>
      </c>
      <c r="AP6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01" s="1"/>
      <c r="AR601" s="1"/>
    </row>
    <row r="602" spans="1:44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42</v>
      </c>
      <c r="X602">
        <v>2627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32</v>
      </c>
      <c r="AJ602">
        <v>22</v>
      </c>
      <c r="AK602">
        <v>0</v>
      </c>
      <c r="AL602">
        <f t="shared" si="9"/>
        <v>42</v>
      </c>
      <c r="AM602">
        <f>IF(OR(Table1[[#This Row],[marital_Married]]=1,Table1[[#This Row],[marital_Together]]=1),1,0)</f>
        <v>0</v>
      </c>
      <c r="AN602" t="str">
        <f>IF(Table1[[#This Row],[Income]]&gt;=70000,"HIGH INCOME","LOW INCOME")</f>
        <v>LOW INCOME</v>
      </c>
      <c r="AO602" s="1" t="str">
        <f>IF(Table1[[#This Row],[MNT_TOTAL]]&gt;=900,"HIGH VALUE","LOW VALUE")</f>
        <v>LOW VALUE</v>
      </c>
      <c r="AP6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02" s="1"/>
      <c r="AR602" s="1"/>
    </row>
    <row r="603" spans="1:44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60</v>
      </c>
      <c r="X603">
        <v>2840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300</v>
      </c>
      <c r="AJ603">
        <v>274</v>
      </c>
      <c r="AK603">
        <v>0</v>
      </c>
      <c r="AL603">
        <f t="shared" si="9"/>
        <v>326</v>
      </c>
      <c r="AM603">
        <f>IF(OR(Table1[[#This Row],[marital_Married]]=1,Table1[[#This Row],[marital_Together]]=1),1,0)</f>
        <v>1</v>
      </c>
      <c r="AN603" t="str">
        <f>IF(Table1[[#This Row],[Income]]&gt;=70000,"HIGH INCOME","LOW INCOME")</f>
        <v>LOW INCOME</v>
      </c>
      <c r="AO603" s="1" t="str">
        <f>IF(Table1[[#This Row],[MNT_TOTAL]]&gt;=900,"HIGH VALUE","LOW VALUE")</f>
        <v>LOW VALUE</v>
      </c>
      <c r="AP6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03" s="1"/>
      <c r="AR603" s="1"/>
    </row>
    <row r="604" spans="1:44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59</v>
      </c>
      <c r="X604">
        <v>2512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389</v>
      </c>
      <c r="AJ604">
        <v>374</v>
      </c>
      <c r="AK604">
        <v>0</v>
      </c>
      <c r="AL604">
        <f t="shared" si="9"/>
        <v>404</v>
      </c>
      <c r="AM604">
        <f>IF(OR(Table1[[#This Row],[marital_Married]]=1,Table1[[#This Row],[marital_Together]]=1),1,0)</f>
        <v>1</v>
      </c>
      <c r="AN604" t="str">
        <f>IF(Table1[[#This Row],[Income]]&gt;=70000,"HIGH INCOME","LOW INCOME")</f>
        <v>LOW INCOME</v>
      </c>
      <c r="AO604" s="1" t="str">
        <f>IF(Table1[[#This Row],[MNT_TOTAL]]&gt;=900,"HIGH VALUE","LOW VALUE")</f>
        <v>LOW VALUE</v>
      </c>
      <c r="AP6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04" s="1"/>
      <c r="AR604" s="1"/>
    </row>
    <row r="605" spans="1:44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49</v>
      </c>
      <c r="X605">
        <v>2509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63</v>
      </c>
      <c r="AJ605">
        <v>31</v>
      </c>
      <c r="AK605">
        <v>0</v>
      </c>
      <c r="AL605">
        <f t="shared" si="9"/>
        <v>95</v>
      </c>
      <c r="AM605">
        <f>IF(OR(Table1[[#This Row],[marital_Married]]=1,Table1[[#This Row],[marital_Together]]=1),1,0)</f>
        <v>0</v>
      </c>
      <c r="AN605" t="str">
        <f>IF(Table1[[#This Row],[Income]]&gt;=70000,"HIGH INCOME","LOW INCOME")</f>
        <v>LOW INCOME</v>
      </c>
      <c r="AO605" s="1" t="str">
        <f>IF(Table1[[#This Row],[MNT_TOTAL]]&gt;=900,"HIGH VALUE","LOW VALUE")</f>
        <v>LOW VALUE</v>
      </c>
      <c r="AP6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05" s="1"/>
      <c r="AR605" s="1"/>
    </row>
    <row r="606" spans="1:44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71</v>
      </c>
      <c r="X606">
        <v>2270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904</v>
      </c>
      <c r="AJ606">
        <v>869</v>
      </c>
      <c r="AK606">
        <v>2</v>
      </c>
      <c r="AL606">
        <f t="shared" si="9"/>
        <v>939</v>
      </c>
      <c r="AM606">
        <f>IF(OR(Table1[[#This Row],[marital_Married]]=1,Table1[[#This Row],[marital_Together]]=1),1,0)</f>
        <v>0</v>
      </c>
      <c r="AN606" t="str">
        <f>IF(Table1[[#This Row],[Income]]&gt;=70000,"HIGH INCOME","LOW INCOME")</f>
        <v>HIGH INCOME</v>
      </c>
      <c r="AO606" s="1" t="str">
        <f>IF(Table1[[#This Row],[MNT_TOTAL]]&gt;=900,"HIGH VALUE","LOW VALUE")</f>
        <v>HIGH VALUE</v>
      </c>
      <c r="AP6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06" s="1"/>
      <c r="AR606" s="1"/>
    </row>
    <row r="607" spans="1:44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42</v>
      </c>
      <c r="X607">
        <v>2342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31</v>
      </c>
      <c r="AJ607">
        <v>29</v>
      </c>
      <c r="AK607">
        <v>0</v>
      </c>
      <c r="AL607">
        <f t="shared" si="9"/>
        <v>33</v>
      </c>
      <c r="AM607">
        <f>IF(OR(Table1[[#This Row],[marital_Married]]=1,Table1[[#This Row],[marital_Together]]=1),1,0)</f>
        <v>0</v>
      </c>
      <c r="AN607" t="str">
        <f>IF(Table1[[#This Row],[Income]]&gt;=70000,"HIGH INCOME","LOW INCOME")</f>
        <v>LOW INCOME</v>
      </c>
      <c r="AO607" s="1" t="str">
        <f>IF(Table1[[#This Row],[MNT_TOTAL]]&gt;=900,"HIGH VALUE","LOW VALUE")</f>
        <v>LOW VALUE</v>
      </c>
      <c r="AP6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07" s="1"/>
      <c r="AR607" s="1"/>
    </row>
    <row r="608" spans="1:44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65</v>
      </c>
      <c r="X608">
        <v>2550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874</v>
      </c>
      <c r="AJ608">
        <v>767</v>
      </c>
      <c r="AK608">
        <v>1</v>
      </c>
      <c r="AL608">
        <f t="shared" si="9"/>
        <v>981</v>
      </c>
      <c r="AM608">
        <f>IF(OR(Table1[[#This Row],[marital_Married]]=1,Table1[[#This Row],[marital_Together]]=1),1,0)</f>
        <v>1</v>
      </c>
      <c r="AN608" t="str">
        <f>IF(Table1[[#This Row],[Income]]&gt;=70000,"HIGH INCOME","LOW INCOME")</f>
        <v>HIGH INCOME</v>
      </c>
      <c r="AO608" s="1" t="str">
        <f>IF(Table1[[#This Row],[MNT_TOTAL]]&gt;=900,"HIGH VALUE","LOW VALUE")</f>
        <v>HIGH VALUE</v>
      </c>
      <c r="AP6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08" s="1"/>
      <c r="AR608" s="1"/>
    </row>
    <row r="609" spans="1:44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44</v>
      </c>
      <c r="X609">
        <v>2684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30</v>
      </c>
      <c r="AJ609">
        <v>24</v>
      </c>
      <c r="AK609">
        <v>0</v>
      </c>
      <c r="AL609">
        <f t="shared" si="9"/>
        <v>36</v>
      </c>
      <c r="AM609">
        <f>IF(OR(Table1[[#This Row],[marital_Married]]=1,Table1[[#This Row],[marital_Together]]=1),1,0)</f>
        <v>1</v>
      </c>
      <c r="AN609" t="str">
        <f>IF(Table1[[#This Row],[Income]]&gt;=70000,"HIGH INCOME","LOW INCOME")</f>
        <v>LOW INCOME</v>
      </c>
      <c r="AO609" s="1" t="str">
        <f>IF(Table1[[#This Row],[MNT_TOTAL]]&gt;=900,"HIGH VALUE","LOW VALUE")</f>
        <v>LOW VALUE</v>
      </c>
      <c r="AP6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09" s="1"/>
      <c r="AR609" s="1"/>
    </row>
    <row r="610" spans="1:44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45</v>
      </c>
      <c r="X610">
        <v>2550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1047</v>
      </c>
      <c r="AJ610">
        <v>857</v>
      </c>
      <c r="AK610">
        <v>0</v>
      </c>
      <c r="AL610">
        <f t="shared" si="9"/>
        <v>1237</v>
      </c>
      <c r="AM610">
        <f>IF(OR(Table1[[#This Row],[marital_Married]]=1,Table1[[#This Row],[marital_Together]]=1),1,0)</f>
        <v>0</v>
      </c>
      <c r="AN610" t="str">
        <f>IF(Table1[[#This Row],[Income]]&gt;=70000,"HIGH INCOME","LOW INCOME")</f>
        <v>HIGH INCOME</v>
      </c>
      <c r="AO610" s="1" t="str">
        <f>IF(Table1[[#This Row],[MNT_TOTAL]]&gt;=900,"HIGH VALUE","LOW VALUE")</f>
        <v>HIGH VALUE</v>
      </c>
      <c r="AP6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10" s="1"/>
      <c r="AR610" s="1"/>
    </row>
    <row r="611" spans="1:44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60</v>
      </c>
      <c r="X611">
        <v>2805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1808</v>
      </c>
      <c r="AJ611">
        <v>1791</v>
      </c>
      <c r="AK611">
        <v>0</v>
      </c>
      <c r="AL611">
        <f t="shared" si="9"/>
        <v>1825</v>
      </c>
      <c r="AM611">
        <f>IF(OR(Table1[[#This Row],[marital_Married]]=1,Table1[[#This Row],[marital_Together]]=1),1,0)</f>
        <v>1</v>
      </c>
      <c r="AN611" t="str">
        <f>IF(Table1[[#This Row],[Income]]&gt;=70000,"HIGH INCOME","LOW INCOME")</f>
        <v>HIGH INCOME</v>
      </c>
      <c r="AO611" s="1" t="str">
        <f>IF(Table1[[#This Row],[MNT_TOTAL]]&gt;=900,"HIGH VALUE","LOW VALUE")</f>
        <v>HIGH VALUE</v>
      </c>
      <c r="AP6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11" s="1"/>
      <c r="AR611" s="1"/>
    </row>
    <row r="612" spans="1:44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43</v>
      </c>
      <c r="X612">
        <v>2820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95</v>
      </c>
      <c r="AJ612">
        <v>87</v>
      </c>
      <c r="AK612">
        <v>0</v>
      </c>
      <c r="AL612">
        <f t="shared" si="9"/>
        <v>103</v>
      </c>
      <c r="AM612">
        <f>IF(OR(Table1[[#This Row],[marital_Married]]=1,Table1[[#This Row],[marital_Together]]=1),1,0)</f>
        <v>0</v>
      </c>
      <c r="AN612" t="str">
        <f>IF(Table1[[#This Row],[Income]]&gt;=70000,"HIGH INCOME","LOW INCOME")</f>
        <v>LOW INCOME</v>
      </c>
      <c r="AO612" s="1" t="str">
        <f>IF(Table1[[#This Row],[MNT_TOTAL]]&gt;=900,"HIGH VALUE","LOW VALUE")</f>
        <v>LOW VALUE</v>
      </c>
      <c r="AP6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2" s="1"/>
      <c r="AR612" s="1"/>
    </row>
    <row r="613" spans="1:44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43</v>
      </c>
      <c r="X613">
        <v>2717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188</v>
      </c>
      <c r="AJ613">
        <v>185</v>
      </c>
      <c r="AK613">
        <v>0</v>
      </c>
      <c r="AL613">
        <f t="shared" si="9"/>
        <v>191</v>
      </c>
      <c r="AM613">
        <f>IF(OR(Table1[[#This Row],[marital_Married]]=1,Table1[[#This Row],[marital_Together]]=1),1,0)</f>
        <v>0</v>
      </c>
      <c r="AN613" t="str">
        <f>IF(Table1[[#This Row],[Income]]&gt;=70000,"HIGH INCOME","LOW INCOME")</f>
        <v>LOW INCOME</v>
      </c>
      <c r="AO613" s="1" t="str">
        <f>IF(Table1[[#This Row],[MNT_TOTAL]]&gt;=900,"HIGH VALUE","LOW VALUE")</f>
        <v>LOW VALUE</v>
      </c>
      <c r="AP6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3" s="1"/>
      <c r="AR613" s="1"/>
    </row>
    <row r="614" spans="1:44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50</v>
      </c>
      <c r="X614">
        <v>2381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1556</v>
      </c>
      <c r="AJ614">
        <v>1526</v>
      </c>
      <c r="AK614">
        <v>0</v>
      </c>
      <c r="AL614">
        <f t="shared" si="9"/>
        <v>1586</v>
      </c>
      <c r="AM614">
        <f>IF(OR(Table1[[#This Row],[marital_Married]]=1,Table1[[#This Row],[marital_Together]]=1),1,0)</f>
        <v>1</v>
      </c>
      <c r="AN614" t="str">
        <f>IF(Table1[[#This Row],[Income]]&gt;=70000,"HIGH INCOME","LOW INCOME")</f>
        <v>LOW INCOME</v>
      </c>
      <c r="AO614" s="1" t="str">
        <f>IF(Table1[[#This Row],[MNT_TOTAL]]&gt;=900,"HIGH VALUE","LOW VALUE")</f>
        <v>HIGH VALUE</v>
      </c>
      <c r="AP6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4" s="1"/>
      <c r="AR614" s="1"/>
    </row>
    <row r="615" spans="1:44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62</v>
      </c>
      <c r="X615">
        <v>2175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909</v>
      </c>
      <c r="AJ615">
        <v>855</v>
      </c>
      <c r="AK615">
        <v>0</v>
      </c>
      <c r="AL615">
        <f t="shared" si="9"/>
        <v>963</v>
      </c>
      <c r="AM615">
        <f>IF(OR(Table1[[#This Row],[marital_Married]]=1,Table1[[#This Row],[marital_Together]]=1),1,0)</f>
        <v>1</v>
      </c>
      <c r="AN615" t="str">
        <f>IF(Table1[[#This Row],[Income]]&gt;=70000,"HIGH INCOME","LOW INCOME")</f>
        <v>LOW INCOME</v>
      </c>
      <c r="AO615" s="1" t="str">
        <f>IF(Table1[[#This Row],[MNT_TOTAL]]&gt;=900,"HIGH VALUE","LOW VALUE")</f>
        <v>HIGH VALUE</v>
      </c>
      <c r="AP6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5" s="1"/>
      <c r="AR615" s="1"/>
    </row>
    <row r="616" spans="1:44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50</v>
      </c>
      <c r="X616">
        <v>2324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806</v>
      </c>
      <c r="AJ616">
        <v>723</v>
      </c>
      <c r="AK616">
        <v>0</v>
      </c>
      <c r="AL616">
        <f t="shared" si="9"/>
        <v>889</v>
      </c>
      <c r="AM616">
        <f>IF(OR(Table1[[#This Row],[marital_Married]]=1,Table1[[#This Row],[marital_Together]]=1),1,0)</f>
        <v>1</v>
      </c>
      <c r="AN616" t="str">
        <f>IF(Table1[[#This Row],[Income]]&gt;=70000,"HIGH INCOME","LOW INCOME")</f>
        <v>LOW INCOME</v>
      </c>
      <c r="AO616" s="1" t="str">
        <f>IF(Table1[[#This Row],[MNT_TOTAL]]&gt;=900,"HIGH VALUE","LOW VALUE")</f>
        <v>LOW VALUE</v>
      </c>
      <c r="AP6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16" s="1"/>
      <c r="AR616" s="1"/>
    </row>
    <row r="617" spans="1:44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60</v>
      </c>
      <c r="X617">
        <v>2293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63</v>
      </c>
      <c r="AJ617">
        <v>33</v>
      </c>
      <c r="AK617">
        <v>1</v>
      </c>
      <c r="AL617">
        <f t="shared" si="9"/>
        <v>93</v>
      </c>
      <c r="AM617">
        <f>IF(OR(Table1[[#This Row],[marital_Married]]=1,Table1[[#This Row],[marital_Together]]=1),1,0)</f>
        <v>0</v>
      </c>
      <c r="AN617" t="str">
        <f>IF(Table1[[#This Row],[Income]]&gt;=70000,"HIGH INCOME","LOW INCOME")</f>
        <v>LOW INCOME</v>
      </c>
      <c r="AO617" s="1" t="str">
        <f>IF(Table1[[#This Row],[MNT_TOTAL]]&gt;=900,"HIGH VALUE","LOW VALUE")</f>
        <v>LOW VALUE</v>
      </c>
      <c r="AP6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7" s="1"/>
      <c r="AR617" s="1"/>
    </row>
    <row r="618" spans="1:44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47</v>
      </c>
      <c r="X618">
        <v>2596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1508</v>
      </c>
      <c r="AJ618">
        <v>1429</v>
      </c>
      <c r="AK618">
        <v>0</v>
      </c>
      <c r="AL618">
        <f t="shared" si="9"/>
        <v>1587</v>
      </c>
      <c r="AM618">
        <f>IF(OR(Table1[[#This Row],[marital_Married]]=1,Table1[[#This Row],[marital_Together]]=1),1,0)</f>
        <v>0</v>
      </c>
      <c r="AN618" t="str">
        <f>IF(Table1[[#This Row],[Income]]&gt;=70000,"HIGH INCOME","LOW INCOME")</f>
        <v>HIGH INCOME</v>
      </c>
      <c r="AO618" s="1" t="str">
        <f>IF(Table1[[#This Row],[MNT_TOTAL]]&gt;=900,"HIGH VALUE","LOW VALUE")</f>
        <v>HIGH VALUE</v>
      </c>
      <c r="AP6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18" s="1"/>
      <c r="AR618" s="1"/>
    </row>
    <row r="619" spans="1:44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58</v>
      </c>
      <c r="X619">
        <v>2270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15</v>
      </c>
      <c r="AJ619">
        <v>14</v>
      </c>
      <c r="AK619">
        <v>0</v>
      </c>
      <c r="AL619">
        <f t="shared" si="9"/>
        <v>16</v>
      </c>
      <c r="AM619">
        <f>IF(OR(Table1[[#This Row],[marital_Married]]=1,Table1[[#This Row],[marital_Together]]=1),1,0)</f>
        <v>0</v>
      </c>
      <c r="AN619" t="str">
        <f>IF(Table1[[#This Row],[Income]]&gt;=70000,"HIGH INCOME","LOW INCOME")</f>
        <v>LOW INCOME</v>
      </c>
      <c r="AO619" s="1" t="str">
        <f>IF(Table1[[#This Row],[MNT_TOTAL]]&gt;=900,"HIGH VALUE","LOW VALUE")</f>
        <v>LOW VALUE</v>
      </c>
      <c r="AP6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19" s="1"/>
      <c r="AR619" s="1"/>
    </row>
    <row r="620" spans="1:44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68</v>
      </c>
      <c r="X620">
        <v>2549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1212</v>
      </c>
      <c r="AJ620">
        <v>1049</v>
      </c>
      <c r="AK620">
        <v>0</v>
      </c>
      <c r="AL620">
        <f t="shared" si="9"/>
        <v>1375</v>
      </c>
      <c r="AM620">
        <f>IF(OR(Table1[[#This Row],[marital_Married]]=1,Table1[[#This Row],[marital_Together]]=1),1,0)</f>
        <v>0</v>
      </c>
      <c r="AN620" t="str">
        <f>IF(Table1[[#This Row],[Income]]&gt;=70000,"HIGH INCOME","LOW INCOME")</f>
        <v>HIGH INCOME</v>
      </c>
      <c r="AO620" s="1" t="str">
        <f>IF(Table1[[#This Row],[MNT_TOTAL]]&gt;=900,"HIGH VALUE","LOW VALUE")</f>
        <v>HIGH VALUE</v>
      </c>
      <c r="AP6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20" s="1"/>
      <c r="AR620" s="1"/>
    </row>
    <row r="621" spans="1:44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58</v>
      </c>
      <c r="X621">
        <v>2696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345</v>
      </c>
      <c r="AJ621">
        <v>297</v>
      </c>
      <c r="AK621">
        <v>0</v>
      </c>
      <c r="AL621">
        <f t="shared" si="9"/>
        <v>393</v>
      </c>
      <c r="AM621">
        <f>IF(OR(Table1[[#This Row],[marital_Married]]=1,Table1[[#This Row],[marital_Together]]=1),1,0)</f>
        <v>1</v>
      </c>
      <c r="AN621" t="str">
        <f>IF(Table1[[#This Row],[Income]]&gt;=70000,"HIGH INCOME","LOW INCOME")</f>
        <v>LOW INCOME</v>
      </c>
      <c r="AO621" s="1" t="str">
        <f>IF(Table1[[#This Row],[MNT_TOTAL]]&gt;=900,"HIGH VALUE","LOW VALUE")</f>
        <v>LOW VALUE</v>
      </c>
      <c r="AP6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21" s="1"/>
      <c r="AR621" s="1"/>
    </row>
    <row r="622" spans="1:44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70</v>
      </c>
      <c r="X622">
        <v>2798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1408</v>
      </c>
      <c r="AJ622">
        <v>1339</v>
      </c>
      <c r="AK622">
        <v>0</v>
      </c>
      <c r="AL622">
        <f t="shared" si="9"/>
        <v>1477</v>
      </c>
      <c r="AM622">
        <f>IF(OR(Table1[[#This Row],[marital_Married]]=1,Table1[[#This Row],[marital_Together]]=1),1,0)</f>
        <v>0</v>
      </c>
      <c r="AN622" t="str">
        <f>IF(Table1[[#This Row],[Income]]&gt;=70000,"HIGH INCOME","LOW INCOME")</f>
        <v>LOW INCOME</v>
      </c>
      <c r="AO622" s="1" t="str">
        <f>IF(Table1[[#This Row],[MNT_TOTAL]]&gt;=900,"HIGH VALUE","LOW VALUE")</f>
        <v>HIGH VALUE</v>
      </c>
      <c r="AP6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22" s="1"/>
      <c r="AR622" s="1"/>
    </row>
    <row r="623" spans="1:44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49</v>
      </c>
      <c r="X623">
        <v>2394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1106</v>
      </c>
      <c r="AJ623">
        <v>1033</v>
      </c>
      <c r="AK623">
        <v>1</v>
      </c>
      <c r="AL623">
        <f t="shared" si="9"/>
        <v>1179</v>
      </c>
      <c r="AM623">
        <f>IF(OR(Table1[[#This Row],[marital_Married]]=1,Table1[[#This Row],[marital_Together]]=1),1,0)</f>
        <v>1</v>
      </c>
      <c r="AN623" t="str">
        <f>IF(Table1[[#This Row],[Income]]&gt;=70000,"HIGH INCOME","LOW INCOME")</f>
        <v>HIGH INCOME</v>
      </c>
      <c r="AO623" s="1" t="str">
        <f>IF(Table1[[#This Row],[MNT_TOTAL]]&gt;=900,"HIGH VALUE","LOW VALUE")</f>
        <v>HIGH VALUE</v>
      </c>
      <c r="AP6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23" s="1"/>
      <c r="AR623" s="1"/>
    </row>
    <row r="624" spans="1:44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60</v>
      </c>
      <c r="X624">
        <v>2791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846</v>
      </c>
      <c r="AJ624">
        <v>687</v>
      </c>
      <c r="AK624">
        <v>0</v>
      </c>
      <c r="AL624">
        <f t="shared" si="9"/>
        <v>1005</v>
      </c>
      <c r="AM624">
        <f>IF(OR(Table1[[#This Row],[marital_Married]]=1,Table1[[#This Row],[marital_Together]]=1),1,0)</f>
        <v>1</v>
      </c>
      <c r="AN624" t="str">
        <f>IF(Table1[[#This Row],[Income]]&gt;=70000,"HIGH INCOME","LOW INCOME")</f>
        <v>LOW INCOME</v>
      </c>
      <c r="AO624" s="1" t="str">
        <f>IF(Table1[[#This Row],[MNT_TOTAL]]&gt;=900,"HIGH VALUE","LOW VALUE")</f>
        <v>HIGH VALUE</v>
      </c>
      <c r="AP6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24" s="1"/>
      <c r="AR624" s="1"/>
    </row>
    <row r="625" spans="1:44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72</v>
      </c>
      <c r="X625">
        <v>2206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1322</v>
      </c>
      <c r="AJ625">
        <v>1296</v>
      </c>
      <c r="AK625">
        <v>0</v>
      </c>
      <c r="AL625">
        <f t="shared" si="9"/>
        <v>1348</v>
      </c>
      <c r="AM625">
        <f>IF(OR(Table1[[#This Row],[marital_Married]]=1,Table1[[#This Row],[marital_Together]]=1),1,0)</f>
        <v>1</v>
      </c>
      <c r="AN625" t="str">
        <f>IF(Table1[[#This Row],[Income]]&gt;=70000,"HIGH INCOME","LOW INCOME")</f>
        <v>HIGH INCOME</v>
      </c>
      <c r="AO625" s="1" t="str">
        <f>IF(Table1[[#This Row],[MNT_TOTAL]]&gt;=900,"HIGH VALUE","LOW VALUE")</f>
        <v>HIGH VALUE</v>
      </c>
      <c r="AP6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25" s="1"/>
      <c r="AR625" s="1"/>
    </row>
    <row r="626" spans="1:44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61</v>
      </c>
      <c r="X626">
        <v>2705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1282</v>
      </c>
      <c r="AJ626">
        <v>1257</v>
      </c>
      <c r="AK626">
        <v>0</v>
      </c>
      <c r="AL626">
        <f t="shared" si="9"/>
        <v>1307</v>
      </c>
      <c r="AM626">
        <f>IF(OR(Table1[[#This Row],[marital_Married]]=1,Table1[[#This Row],[marital_Together]]=1),1,0)</f>
        <v>0</v>
      </c>
      <c r="AN626" t="str">
        <f>IF(Table1[[#This Row],[Income]]&gt;=70000,"HIGH INCOME","LOW INCOME")</f>
        <v>LOW INCOME</v>
      </c>
      <c r="AO626" s="1" t="str">
        <f>IF(Table1[[#This Row],[MNT_TOTAL]]&gt;=900,"HIGH VALUE","LOW VALUE")</f>
        <v>HIGH VALUE</v>
      </c>
      <c r="AP6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26" s="1"/>
      <c r="AR626" s="1"/>
    </row>
    <row r="627" spans="1:44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56</v>
      </c>
      <c r="X627">
        <v>2577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342</v>
      </c>
      <c r="AJ627">
        <v>198</v>
      </c>
      <c r="AK627">
        <v>1</v>
      </c>
      <c r="AL627">
        <f t="shared" si="9"/>
        <v>486</v>
      </c>
      <c r="AM627">
        <f>IF(OR(Table1[[#This Row],[marital_Married]]=1,Table1[[#This Row],[marital_Together]]=1),1,0)</f>
        <v>0</v>
      </c>
      <c r="AN627" t="str">
        <f>IF(Table1[[#This Row],[Income]]&gt;=70000,"HIGH INCOME","LOW INCOME")</f>
        <v>LOW INCOME</v>
      </c>
      <c r="AO627" s="1" t="str">
        <f>IF(Table1[[#This Row],[MNT_TOTAL]]&gt;=900,"HIGH VALUE","LOW VALUE")</f>
        <v>LOW VALUE</v>
      </c>
      <c r="AP6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27" s="1"/>
      <c r="AR627" s="1"/>
    </row>
    <row r="628" spans="1:44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73</v>
      </c>
      <c r="X628">
        <v>2635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2105</v>
      </c>
      <c r="AJ628">
        <v>1958</v>
      </c>
      <c r="AK628">
        <v>2</v>
      </c>
      <c r="AL628">
        <f t="shared" si="9"/>
        <v>2252</v>
      </c>
      <c r="AM628">
        <f>IF(OR(Table1[[#This Row],[marital_Married]]=1,Table1[[#This Row],[marital_Together]]=1),1,0)</f>
        <v>1</v>
      </c>
      <c r="AN628" t="str">
        <f>IF(Table1[[#This Row],[Income]]&gt;=70000,"HIGH INCOME","LOW INCOME")</f>
        <v>HIGH INCOME</v>
      </c>
      <c r="AO628" s="1" t="str">
        <f>IF(Table1[[#This Row],[MNT_TOTAL]]&gt;=900,"HIGH VALUE","LOW VALUE")</f>
        <v>HIGH VALUE</v>
      </c>
      <c r="AP6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28" s="1"/>
      <c r="AR628" s="1"/>
    </row>
    <row r="629" spans="1:44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49</v>
      </c>
      <c r="X629">
        <v>2474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224</v>
      </c>
      <c r="AJ629">
        <v>213</v>
      </c>
      <c r="AK629">
        <v>0</v>
      </c>
      <c r="AL629">
        <f t="shared" si="9"/>
        <v>235</v>
      </c>
      <c r="AM629">
        <f>IF(OR(Table1[[#This Row],[marital_Married]]=1,Table1[[#This Row],[marital_Together]]=1),1,0)</f>
        <v>1</v>
      </c>
      <c r="AN629" t="str">
        <f>IF(Table1[[#This Row],[Income]]&gt;=70000,"HIGH INCOME","LOW INCOME")</f>
        <v>LOW INCOME</v>
      </c>
      <c r="AO629" s="1" t="str">
        <f>IF(Table1[[#This Row],[MNT_TOTAL]]&gt;=900,"HIGH VALUE","LOW VALUE")</f>
        <v>LOW VALUE</v>
      </c>
      <c r="AP6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29" s="1"/>
      <c r="AR629" s="1"/>
    </row>
    <row r="630" spans="1:44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1</v>
      </c>
      <c r="W630">
        <v>50</v>
      </c>
      <c r="X630">
        <v>2683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1517</v>
      </c>
      <c r="AJ630">
        <v>1310</v>
      </c>
      <c r="AK630">
        <v>2</v>
      </c>
      <c r="AL630">
        <f t="shared" si="9"/>
        <v>1724</v>
      </c>
      <c r="AM630">
        <f>IF(OR(Table1[[#This Row],[marital_Married]]=1,Table1[[#This Row],[marital_Together]]=1),1,0)</f>
        <v>1</v>
      </c>
      <c r="AN630" t="str">
        <f>IF(Table1[[#This Row],[Income]]&gt;=70000,"HIGH INCOME","LOW INCOME")</f>
        <v>HIGH INCOME</v>
      </c>
      <c r="AO630" s="1" t="str">
        <f>IF(Table1[[#This Row],[MNT_TOTAL]]&gt;=900,"HIGH VALUE","LOW VALUE")</f>
        <v>HIGH VALUE</v>
      </c>
      <c r="AP6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30" s="1"/>
      <c r="AR630" s="1"/>
    </row>
    <row r="631" spans="1:44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50</v>
      </c>
      <c r="X631">
        <v>2357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216</v>
      </c>
      <c r="AJ631">
        <v>197</v>
      </c>
      <c r="AK631">
        <v>0</v>
      </c>
      <c r="AL631">
        <f t="shared" si="9"/>
        <v>235</v>
      </c>
      <c r="AM631">
        <f>IF(OR(Table1[[#This Row],[marital_Married]]=1,Table1[[#This Row],[marital_Together]]=1),1,0)</f>
        <v>0</v>
      </c>
      <c r="AN631" t="str">
        <f>IF(Table1[[#This Row],[Income]]&gt;=70000,"HIGH INCOME","LOW INCOME")</f>
        <v>LOW INCOME</v>
      </c>
      <c r="AO631" s="1" t="str">
        <f>IF(Table1[[#This Row],[MNT_TOTAL]]&gt;=900,"HIGH VALUE","LOW VALUE")</f>
        <v>LOW VALUE</v>
      </c>
      <c r="AP6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31" s="1"/>
      <c r="AR631" s="1"/>
    </row>
    <row r="632" spans="1:44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43</v>
      </c>
      <c r="X632">
        <v>2196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1042</v>
      </c>
      <c r="AJ632">
        <v>992</v>
      </c>
      <c r="AK632">
        <v>0</v>
      </c>
      <c r="AL632">
        <f t="shared" si="9"/>
        <v>1092</v>
      </c>
      <c r="AM632">
        <f>IF(OR(Table1[[#This Row],[marital_Married]]=1,Table1[[#This Row],[marital_Together]]=1),1,0)</f>
        <v>1</v>
      </c>
      <c r="AN632" t="str">
        <f>IF(Table1[[#This Row],[Income]]&gt;=70000,"HIGH INCOME","LOW INCOME")</f>
        <v>HIGH INCOME</v>
      </c>
      <c r="AO632" s="1" t="str">
        <f>IF(Table1[[#This Row],[MNT_TOTAL]]&gt;=900,"HIGH VALUE","LOW VALUE")</f>
        <v>HIGH VALUE</v>
      </c>
      <c r="AP6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32" s="1"/>
      <c r="AR632" s="1"/>
    </row>
    <row r="633" spans="1:44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62</v>
      </c>
      <c r="X633">
        <v>2445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453</v>
      </c>
      <c r="AJ633">
        <v>307</v>
      </c>
      <c r="AK633">
        <v>0</v>
      </c>
      <c r="AL633">
        <f t="shared" si="9"/>
        <v>599</v>
      </c>
      <c r="AM633">
        <f>IF(OR(Table1[[#This Row],[marital_Married]]=1,Table1[[#This Row],[marital_Together]]=1),1,0)</f>
        <v>1</v>
      </c>
      <c r="AN633" t="str">
        <f>IF(Table1[[#This Row],[Income]]&gt;=70000,"HIGH INCOME","LOW INCOME")</f>
        <v>LOW INCOME</v>
      </c>
      <c r="AO633" s="1" t="str">
        <f>IF(Table1[[#This Row],[MNT_TOTAL]]&gt;=900,"HIGH VALUE","LOW VALUE")</f>
        <v>LOW VALUE</v>
      </c>
      <c r="AP6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33" s="1"/>
      <c r="AR633" s="1"/>
    </row>
    <row r="634" spans="1:44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60</v>
      </c>
      <c r="X634">
        <v>2291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1970</v>
      </c>
      <c r="AJ634">
        <v>1932</v>
      </c>
      <c r="AK634">
        <v>1</v>
      </c>
      <c r="AL634">
        <f t="shared" si="9"/>
        <v>2008</v>
      </c>
      <c r="AM634">
        <f>IF(OR(Table1[[#This Row],[marital_Married]]=1,Table1[[#This Row],[marital_Together]]=1),1,0)</f>
        <v>0</v>
      </c>
      <c r="AN634" t="str">
        <f>IF(Table1[[#This Row],[Income]]&gt;=70000,"HIGH INCOME","LOW INCOME")</f>
        <v>HIGH INCOME</v>
      </c>
      <c r="AO634" s="1" t="str">
        <f>IF(Table1[[#This Row],[MNT_TOTAL]]&gt;=900,"HIGH VALUE","LOW VALUE")</f>
        <v>HIGH VALUE</v>
      </c>
      <c r="AP6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34" s="1"/>
      <c r="AR634" s="1"/>
    </row>
    <row r="635" spans="1:44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35</v>
      </c>
      <c r="X635">
        <v>2830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42</v>
      </c>
      <c r="AJ635">
        <v>36</v>
      </c>
      <c r="AK635">
        <v>0</v>
      </c>
      <c r="AL635">
        <f t="shared" si="9"/>
        <v>48</v>
      </c>
      <c r="AM635">
        <f>IF(OR(Table1[[#This Row],[marital_Married]]=1,Table1[[#This Row],[marital_Together]]=1),1,0)</f>
        <v>1</v>
      </c>
      <c r="AN635" t="str">
        <f>IF(Table1[[#This Row],[Income]]&gt;=70000,"HIGH INCOME","LOW INCOME")</f>
        <v>LOW INCOME</v>
      </c>
      <c r="AO635" s="1" t="str">
        <f>IF(Table1[[#This Row],[MNT_TOTAL]]&gt;=900,"HIGH VALUE","LOW VALUE")</f>
        <v>LOW VALUE</v>
      </c>
      <c r="AP6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35" s="1"/>
      <c r="AR635" s="1"/>
    </row>
    <row r="636" spans="1:44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46</v>
      </c>
      <c r="X636">
        <v>2845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1163</v>
      </c>
      <c r="AJ636">
        <v>1152</v>
      </c>
      <c r="AK636">
        <v>0</v>
      </c>
      <c r="AL636">
        <f t="shared" si="9"/>
        <v>1174</v>
      </c>
      <c r="AM636">
        <f>IF(OR(Table1[[#This Row],[marital_Married]]=1,Table1[[#This Row],[marital_Together]]=1),1,0)</f>
        <v>1</v>
      </c>
      <c r="AN636" t="str">
        <f>IF(Table1[[#This Row],[Income]]&gt;=70000,"HIGH INCOME","LOW INCOME")</f>
        <v>LOW INCOME</v>
      </c>
      <c r="AO636" s="1" t="str">
        <f>IF(Table1[[#This Row],[MNT_TOTAL]]&gt;=900,"HIGH VALUE","LOW VALUE")</f>
        <v>HIGH VALUE</v>
      </c>
      <c r="AP6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36" s="1"/>
      <c r="AR636" s="1"/>
    </row>
    <row r="637" spans="1:44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70</v>
      </c>
      <c r="X637">
        <v>2236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58</v>
      </c>
      <c r="AJ637">
        <v>49</v>
      </c>
      <c r="AK637">
        <v>0</v>
      </c>
      <c r="AL637">
        <f t="shared" si="9"/>
        <v>67</v>
      </c>
      <c r="AM637">
        <f>IF(OR(Table1[[#This Row],[marital_Married]]=1,Table1[[#This Row],[marital_Together]]=1),1,0)</f>
        <v>1</v>
      </c>
      <c r="AN637" t="str">
        <f>IF(Table1[[#This Row],[Income]]&gt;=70000,"HIGH INCOME","LOW INCOME")</f>
        <v>LOW INCOME</v>
      </c>
      <c r="AO637" s="1" t="str">
        <f>IF(Table1[[#This Row],[MNT_TOTAL]]&gt;=900,"HIGH VALUE","LOW VALUE")</f>
        <v>LOW VALUE</v>
      </c>
      <c r="AP6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37" s="1"/>
      <c r="AR637" s="1"/>
    </row>
    <row r="638" spans="1:44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65</v>
      </c>
      <c r="X638">
        <v>2854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348</v>
      </c>
      <c r="AJ638">
        <v>331</v>
      </c>
      <c r="AK638">
        <v>0</v>
      </c>
      <c r="AL638">
        <f t="shared" si="9"/>
        <v>365</v>
      </c>
      <c r="AM638">
        <f>IF(OR(Table1[[#This Row],[marital_Married]]=1,Table1[[#This Row],[marital_Together]]=1),1,0)</f>
        <v>0</v>
      </c>
      <c r="AN638" t="str">
        <f>IF(Table1[[#This Row],[Income]]&gt;=70000,"HIGH INCOME","LOW INCOME")</f>
        <v>LOW INCOME</v>
      </c>
      <c r="AO638" s="1" t="str">
        <f>IF(Table1[[#This Row],[MNT_TOTAL]]&gt;=900,"HIGH VALUE","LOW VALUE")</f>
        <v>LOW VALUE</v>
      </c>
      <c r="AP6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38" s="1"/>
      <c r="AR638" s="1"/>
    </row>
    <row r="639" spans="1:44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67</v>
      </c>
      <c r="X639">
        <v>2335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150</v>
      </c>
      <c r="AJ639">
        <v>135</v>
      </c>
      <c r="AK639">
        <v>0</v>
      </c>
      <c r="AL639">
        <f t="shared" si="9"/>
        <v>165</v>
      </c>
      <c r="AM639">
        <f>IF(OR(Table1[[#This Row],[marital_Married]]=1,Table1[[#This Row],[marital_Together]]=1),1,0)</f>
        <v>1</v>
      </c>
      <c r="AN639" t="str">
        <f>IF(Table1[[#This Row],[Income]]&gt;=70000,"HIGH INCOME","LOW INCOME")</f>
        <v>LOW INCOME</v>
      </c>
      <c r="AO639" s="1" t="str">
        <f>IF(Table1[[#This Row],[MNT_TOTAL]]&gt;=900,"HIGH VALUE","LOW VALUE")</f>
        <v>LOW VALUE</v>
      </c>
      <c r="AP6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39" s="1"/>
      <c r="AR639" s="1"/>
    </row>
    <row r="640" spans="1:44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62</v>
      </c>
      <c r="X640">
        <v>2804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185</v>
      </c>
      <c r="AJ640">
        <v>160</v>
      </c>
      <c r="AK640">
        <v>0</v>
      </c>
      <c r="AL640">
        <f t="shared" si="9"/>
        <v>210</v>
      </c>
      <c r="AM640">
        <f>IF(OR(Table1[[#This Row],[marital_Married]]=1,Table1[[#This Row],[marital_Together]]=1),1,0)</f>
        <v>1</v>
      </c>
      <c r="AN640" t="str">
        <f>IF(Table1[[#This Row],[Income]]&gt;=70000,"HIGH INCOME","LOW INCOME")</f>
        <v>LOW INCOME</v>
      </c>
      <c r="AO640" s="1" t="str">
        <f>IF(Table1[[#This Row],[MNT_TOTAL]]&gt;=900,"HIGH VALUE","LOW VALUE")</f>
        <v>LOW VALUE</v>
      </c>
      <c r="AP6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0" s="1"/>
      <c r="AR640" s="1"/>
    </row>
    <row r="641" spans="1:44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73</v>
      </c>
      <c r="X641">
        <v>2461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1024</v>
      </c>
      <c r="AJ641">
        <v>953</v>
      </c>
      <c r="AK641">
        <v>0</v>
      </c>
      <c r="AL641">
        <f t="shared" si="9"/>
        <v>1095</v>
      </c>
      <c r="AM641">
        <f>IF(OR(Table1[[#This Row],[marital_Married]]=1,Table1[[#This Row],[marital_Together]]=1),1,0)</f>
        <v>1</v>
      </c>
      <c r="AN641" t="str">
        <f>IF(Table1[[#This Row],[Income]]&gt;=70000,"HIGH INCOME","LOW INCOME")</f>
        <v>HIGH INCOME</v>
      </c>
      <c r="AO641" s="1" t="str">
        <f>IF(Table1[[#This Row],[MNT_TOTAL]]&gt;=900,"HIGH VALUE","LOW VALUE")</f>
        <v>HIGH VALUE</v>
      </c>
      <c r="AP6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41" s="1"/>
      <c r="AR641" s="1"/>
    </row>
    <row r="642" spans="1:44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54</v>
      </c>
      <c r="X642">
        <v>2410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147</v>
      </c>
      <c r="AJ642">
        <v>71</v>
      </c>
      <c r="AK642">
        <v>1</v>
      </c>
      <c r="AL642">
        <f t="shared" ref="AL642:AL705" si="10">SUM(E642:J642)</f>
        <v>223</v>
      </c>
      <c r="AM642">
        <f>IF(OR(Table1[[#This Row],[marital_Married]]=1,Table1[[#This Row],[marital_Together]]=1),1,0)</f>
        <v>0</v>
      </c>
      <c r="AN642" t="str">
        <f>IF(Table1[[#This Row],[Income]]&gt;=70000,"HIGH INCOME","LOW INCOME")</f>
        <v>LOW INCOME</v>
      </c>
      <c r="AO642" s="1" t="str">
        <f>IF(Table1[[#This Row],[MNT_TOTAL]]&gt;=900,"HIGH VALUE","LOW VALUE")</f>
        <v>LOW VALUE</v>
      </c>
      <c r="AP6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42" s="1"/>
      <c r="AR642" s="1"/>
    </row>
    <row r="643" spans="1:44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57</v>
      </c>
      <c r="X643">
        <v>2728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592</v>
      </c>
      <c r="AJ643">
        <v>587</v>
      </c>
      <c r="AK643">
        <v>0</v>
      </c>
      <c r="AL643">
        <f t="shared" si="10"/>
        <v>597</v>
      </c>
      <c r="AM643">
        <f>IF(OR(Table1[[#This Row],[marital_Married]]=1,Table1[[#This Row],[marital_Together]]=1),1,0)</f>
        <v>1</v>
      </c>
      <c r="AN643" t="str">
        <f>IF(Table1[[#This Row],[Income]]&gt;=70000,"HIGH INCOME","LOW INCOME")</f>
        <v>LOW INCOME</v>
      </c>
      <c r="AO643" s="1" t="str">
        <f>IF(Table1[[#This Row],[MNT_TOTAL]]&gt;=900,"HIGH VALUE","LOW VALUE")</f>
        <v>LOW VALUE</v>
      </c>
      <c r="AP6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3" s="1"/>
      <c r="AR643" s="1"/>
    </row>
    <row r="644" spans="1:44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35</v>
      </c>
      <c r="X644">
        <v>2386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16</v>
      </c>
      <c r="AJ644">
        <v>10</v>
      </c>
      <c r="AK644">
        <v>0</v>
      </c>
      <c r="AL644">
        <f t="shared" si="10"/>
        <v>22</v>
      </c>
      <c r="AM644">
        <f>IF(OR(Table1[[#This Row],[marital_Married]]=1,Table1[[#This Row],[marital_Together]]=1),1,0)</f>
        <v>1</v>
      </c>
      <c r="AN644" t="str">
        <f>IF(Table1[[#This Row],[Income]]&gt;=70000,"HIGH INCOME","LOW INCOME")</f>
        <v>LOW INCOME</v>
      </c>
      <c r="AO644" s="1" t="str">
        <f>IF(Table1[[#This Row],[MNT_TOTAL]]&gt;=900,"HIGH VALUE","LOW VALUE")</f>
        <v>LOW VALUE</v>
      </c>
      <c r="AP6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4" s="1"/>
      <c r="AR644" s="1"/>
    </row>
    <row r="645" spans="1:44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45</v>
      </c>
      <c r="X645">
        <v>2345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913</v>
      </c>
      <c r="AJ645">
        <v>762</v>
      </c>
      <c r="AK645">
        <v>0</v>
      </c>
      <c r="AL645">
        <f t="shared" si="10"/>
        <v>1064</v>
      </c>
      <c r="AM645">
        <f>IF(OR(Table1[[#This Row],[marital_Married]]=1,Table1[[#This Row],[marital_Together]]=1),1,0)</f>
        <v>0</v>
      </c>
      <c r="AN645" t="str">
        <f>IF(Table1[[#This Row],[Income]]&gt;=70000,"HIGH INCOME","LOW INCOME")</f>
        <v>LOW INCOME</v>
      </c>
      <c r="AO645" s="1" t="str">
        <f>IF(Table1[[#This Row],[MNT_TOTAL]]&gt;=900,"HIGH VALUE","LOW VALUE")</f>
        <v>HIGH VALUE</v>
      </c>
      <c r="AP6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45" s="1"/>
      <c r="AR645" s="1"/>
    </row>
    <row r="646" spans="1:44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40</v>
      </c>
      <c r="X646">
        <v>2819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63</v>
      </c>
      <c r="AJ646">
        <v>52</v>
      </c>
      <c r="AK646">
        <v>0</v>
      </c>
      <c r="AL646">
        <f t="shared" si="10"/>
        <v>74</v>
      </c>
      <c r="AM646">
        <f>IF(OR(Table1[[#This Row],[marital_Married]]=1,Table1[[#This Row],[marital_Together]]=1),1,0)</f>
        <v>1</v>
      </c>
      <c r="AN646" t="str">
        <f>IF(Table1[[#This Row],[Income]]&gt;=70000,"HIGH INCOME","LOW INCOME")</f>
        <v>LOW INCOME</v>
      </c>
      <c r="AO646" s="1" t="str">
        <f>IF(Table1[[#This Row],[MNT_TOTAL]]&gt;=900,"HIGH VALUE","LOW VALUE")</f>
        <v>LOW VALUE</v>
      </c>
      <c r="AP6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6" s="1"/>
      <c r="AR646" s="1"/>
    </row>
    <row r="647" spans="1:44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64</v>
      </c>
      <c r="X647">
        <v>2703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24</v>
      </c>
      <c r="AJ647">
        <v>22</v>
      </c>
      <c r="AK647">
        <v>0</v>
      </c>
      <c r="AL647">
        <f t="shared" si="10"/>
        <v>26</v>
      </c>
      <c r="AM647">
        <f>IF(OR(Table1[[#This Row],[marital_Married]]=1,Table1[[#This Row],[marital_Together]]=1),1,0)</f>
        <v>1</v>
      </c>
      <c r="AN647" t="str">
        <f>IF(Table1[[#This Row],[Income]]&gt;=70000,"HIGH INCOME","LOW INCOME")</f>
        <v>LOW INCOME</v>
      </c>
      <c r="AO647" s="1" t="str">
        <f>IF(Table1[[#This Row],[MNT_TOTAL]]&gt;=900,"HIGH VALUE","LOW VALUE")</f>
        <v>LOW VALUE</v>
      </c>
      <c r="AP6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7" s="1"/>
      <c r="AR647" s="1"/>
    </row>
    <row r="648" spans="1:44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61</v>
      </c>
      <c r="X648">
        <v>2707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41</v>
      </c>
      <c r="AJ648">
        <v>22</v>
      </c>
      <c r="AK648">
        <v>0</v>
      </c>
      <c r="AL648">
        <f t="shared" si="10"/>
        <v>60</v>
      </c>
      <c r="AM648">
        <f>IF(OR(Table1[[#This Row],[marital_Married]]=1,Table1[[#This Row],[marital_Together]]=1),1,0)</f>
        <v>1</v>
      </c>
      <c r="AN648" t="str">
        <f>IF(Table1[[#This Row],[Income]]&gt;=70000,"HIGH INCOME","LOW INCOME")</f>
        <v>LOW INCOME</v>
      </c>
      <c r="AO648" s="1" t="str">
        <f>IF(Table1[[#This Row],[MNT_TOTAL]]&gt;=900,"HIGH VALUE","LOW VALUE")</f>
        <v>LOW VALUE</v>
      </c>
      <c r="AP6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8" s="1"/>
      <c r="AR648" s="1"/>
    </row>
    <row r="649" spans="1:44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46</v>
      </c>
      <c r="X649">
        <v>2568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17</v>
      </c>
      <c r="AJ649">
        <v>14</v>
      </c>
      <c r="AK649">
        <v>0</v>
      </c>
      <c r="AL649">
        <f t="shared" si="10"/>
        <v>20</v>
      </c>
      <c r="AM649">
        <f>IF(OR(Table1[[#This Row],[marital_Married]]=1,Table1[[#This Row],[marital_Together]]=1),1,0)</f>
        <v>1</v>
      </c>
      <c r="AN649" t="str">
        <f>IF(Table1[[#This Row],[Income]]&gt;=70000,"HIGH INCOME","LOW INCOME")</f>
        <v>LOW INCOME</v>
      </c>
      <c r="AO649" s="1" t="str">
        <f>IF(Table1[[#This Row],[MNT_TOTAL]]&gt;=900,"HIGH VALUE","LOW VALUE")</f>
        <v>LOW VALUE</v>
      </c>
      <c r="AP6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49" s="1"/>
      <c r="AR649" s="1"/>
    </row>
    <row r="650" spans="1:44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33</v>
      </c>
      <c r="X650">
        <v>2436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44</v>
      </c>
      <c r="AJ650">
        <v>29</v>
      </c>
      <c r="AK650">
        <v>0</v>
      </c>
      <c r="AL650">
        <f t="shared" si="10"/>
        <v>59</v>
      </c>
      <c r="AM650">
        <f>IF(OR(Table1[[#This Row],[marital_Married]]=1,Table1[[#This Row],[marital_Together]]=1),1,0)</f>
        <v>0</v>
      </c>
      <c r="AN650" t="str">
        <f>IF(Table1[[#This Row],[Income]]&gt;=70000,"HIGH INCOME","LOW INCOME")</f>
        <v>LOW INCOME</v>
      </c>
      <c r="AO650" s="1" t="str">
        <f>IF(Table1[[#This Row],[MNT_TOTAL]]&gt;=900,"HIGH VALUE","LOW VALUE")</f>
        <v>LOW VALUE</v>
      </c>
      <c r="AP6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0" s="1"/>
      <c r="AR650" s="1"/>
    </row>
    <row r="651" spans="1:44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52</v>
      </c>
      <c r="X651">
        <v>2575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32</v>
      </c>
      <c r="AJ651">
        <v>30</v>
      </c>
      <c r="AK651">
        <v>0</v>
      </c>
      <c r="AL651">
        <f t="shared" si="10"/>
        <v>34</v>
      </c>
      <c r="AM651">
        <f>IF(OR(Table1[[#This Row],[marital_Married]]=1,Table1[[#This Row],[marital_Together]]=1),1,0)</f>
        <v>1</v>
      </c>
      <c r="AN651" t="str">
        <f>IF(Table1[[#This Row],[Income]]&gt;=70000,"HIGH INCOME","LOW INCOME")</f>
        <v>LOW INCOME</v>
      </c>
      <c r="AO651" s="1" t="str">
        <f>IF(Table1[[#This Row],[MNT_TOTAL]]&gt;=900,"HIGH VALUE","LOW VALUE")</f>
        <v>LOW VALUE</v>
      </c>
      <c r="AP6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51" s="1"/>
      <c r="AR651" s="1"/>
    </row>
    <row r="652" spans="1:44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49</v>
      </c>
      <c r="X652">
        <v>2393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180</v>
      </c>
      <c r="AJ652">
        <v>162</v>
      </c>
      <c r="AK652">
        <v>0</v>
      </c>
      <c r="AL652">
        <f t="shared" si="10"/>
        <v>198</v>
      </c>
      <c r="AM652">
        <f>IF(OR(Table1[[#This Row],[marital_Married]]=1,Table1[[#This Row],[marital_Together]]=1),1,0)</f>
        <v>1</v>
      </c>
      <c r="AN652" t="str">
        <f>IF(Table1[[#This Row],[Income]]&gt;=70000,"HIGH INCOME","LOW INCOME")</f>
        <v>LOW INCOME</v>
      </c>
      <c r="AO652" s="1" t="str">
        <f>IF(Table1[[#This Row],[MNT_TOTAL]]&gt;=900,"HIGH VALUE","LOW VALUE")</f>
        <v>LOW VALUE</v>
      </c>
      <c r="AP6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52" s="1"/>
      <c r="AR652" s="1"/>
    </row>
    <row r="653" spans="1:44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56</v>
      </c>
      <c r="X653">
        <v>2494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1038</v>
      </c>
      <c r="AJ653">
        <v>1028</v>
      </c>
      <c r="AK653">
        <v>0</v>
      </c>
      <c r="AL653">
        <f t="shared" si="10"/>
        <v>1048</v>
      </c>
      <c r="AM653">
        <f>IF(OR(Table1[[#This Row],[marital_Married]]=1,Table1[[#This Row],[marital_Together]]=1),1,0)</f>
        <v>1</v>
      </c>
      <c r="AN653" t="str">
        <f>IF(Table1[[#This Row],[Income]]&gt;=70000,"HIGH INCOME","LOW INCOME")</f>
        <v>LOW INCOME</v>
      </c>
      <c r="AO653" s="1" t="str">
        <f>IF(Table1[[#This Row],[MNT_TOTAL]]&gt;=900,"HIGH VALUE","LOW VALUE")</f>
        <v>HIGH VALUE</v>
      </c>
      <c r="AP6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3" s="1"/>
      <c r="AR653" s="1"/>
    </row>
    <row r="654" spans="1:44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58</v>
      </c>
      <c r="X654">
        <v>2392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491</v>
      </c>
      <c r="AJ654">
        <v>408</v>
      </c>
      <c r="AK654">
        <v>0</v>
      </c>
      <c r="AL654">
        <f t="shared" si="10"/>
        <v>574</v>
      </c>
      <c r="AM654">
        <f>IF(OR(Table1[[#This Row],[marital_Married]]=1,Table1[[#This Row],[marital_Together]]=1),1,0)</f>
        <v>0</v>
      </c>
      <c r="AN654" t="str">
        <f>IF(Table1[[#This Row],[Income]]&gt;=70000,"HIGH INCOME","LOW INCOME")</f>
        <v>LOW INCOME</v>
      </c>
      <c r="AO654" s="1" t="str">
        <f>IF(Table1[[#This Row],[MNT_TOTAL]]&gt;=900,"HIGH VALUE","LOW VALUE")</f>
        <v>LOW VALUE</v>
      </c>
      <c r="AP6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4" s="1"/>
      <c r="AR654" s="1"/>
    </row>
    <row r="655" spans="1:44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50</v>
      </c>
      <c r="X655">
        <v>2814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888</v>
      </c>
      <c r="AJ655">
        <v>747</v>
      </c>
      <c r="AK655">
        <v>0</v>
      </c>
      <c r="AL655">
        <f t="shared" si="10"/>
        <v>1029</v>
      </c>
      <c r="AM655">
        <f>IF(OR(Table1[[#This Row],[marital_Married]]=1,Table1[[#This Row],[marital_Together]]=1),1,0)</f>
        <v>0</v>
      </c>
      <c r="AN655" t="str">
        <f>IF(Table1[[#This Row],[Income]]&gt;=70000,"HIGH INCOME","LOW INCOME")</f>
        <v>LOW INCOME</v>
      </c>
      <c r="AO655" s="1" t="str">
        <f>IF(Table1[[#This Row],[MNT_TOTAL]]&gt;=900,"HIGH VALUE","LOW VALUE")</f>
        <v>HIGH VALUE</v>
      </c>
      <c r="AP6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5" s="1"/>
      <c r="AR655" s="1"/>
    </row>
    <row r="656" spans="1:44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40</v>
      </c>
      <c r="X656">
        <v>2354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611</v>
      </c>
      <c r="AJ656">
        <v>552</v>
      </c>
      <c r="AK656">
        <v>0</v>
      </c>
      <c r="AL656">
        <f t="shared" si="10"/>
        <v>670</v>
      </c>
      <c r="AM656">
        <f>IF(OR(Table1[[#This Row],[marital_Married]]=1,Table1[[#This Row],[marital_Together]]=1),1,0)</f>
        <v>1</v>
      </c>
      <c r="AN656" t="str">
        <f>IF(Table1[[#This Row],[Income]]&gt;=70000,"HIGH INCOME","LOW INCOME")</f>
        <v>HIGH INCOME</v>
      </c>
      <c r="AO656" s="1" t="str">
        <f>IF(Table1[[#This Row],[MNT_TOTAL]]&gt;=900,"HIGH VALUE","LOW VALUE")</f>
        <v>LOW VALUE</v>
      </c>
      <c r="AP6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6" s="1"/>
      <c r="AR656" s="1"/>
    </row>
    <row r="657" spans="1:44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45</v>
      </c>
      <c r="X657">
        <v>2734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952</v>
      </c>
      <c r="AJ657">
        <v>914</v>
      </c>
      <c r="AK657">
        <v>0</v>
      </c>
      <c r="AL657">
        <f t="shared" si="10"/>
        <v>990</v>
      </c>
      <c r="AM657">
        <f>IF(OR(Table1[[#This Row],[marital_Married]]=1,Table1[[#This Row],[marital_Together]]=1),1,0)</f>
        <v>0</v>
      </c>
      <c r="AN657" t="str">
        <f>IF(Table1[[#This Row],[Income]]&gt;=70000,"HIGH INCOME","LOW INCOME")</f>
        <v>LOW INCOME</v>
      </c>
      <c r="AO657" s="1" t="str">
        <f>IF(Table1[[#This Row],[MNT_TOTAL]]&gt;=900,"HIGH VALUE","LOW VALUE")</f>
        <v>HIGH VALUE</v>
      </c>
      <c r="AP6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57" s="1"/>
      <c r="AR657" s="1"/>
    </row>
    <row r="658" spans="1:44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46</v>
      </c>
      <c r="X658">
        <v>2197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10</v>
      </c>
      <c r="AJ658">
        <v>9</v>
      </c>
      <c r="AK658">
        <v>0</v>
      </c>
      <c r="AL658">
        <f t="shared" si="10"/>
        <v>11</v>
      </c>
      <c r="AM658">
        <f>IF(OR(Table1[[#This Row],[marital_Married]]=1,Table1[[#This Row],[marital_Together]]=1),1,0)</f>
        <v>1</v>
      </c>
      <c r="AN658" t="str">
        <f>IF(Table1[[#This Row],[Income]]&gt;=70000,"HIGH INCOME","LOW INCOME")</f>
        <v>LOW INCOME</v>
      </c>
      <c r="AO658" s="1" t="str">
        <f>IF(Table1[[#This Row],[MNT_TOTAL]]&gt;=900,"HIGH VALUE","LOW VALUE")</f>
        <v>LOW VALUE</v>
      </c>
      <c r="AP6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58" s="1"/>
      <c r="AR658" s="1"/>
    </row>
    <row r="659" spans="1:44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57</v>
      </c>
      <c r="X659">
        <v>2766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1205</v>
      </c>
      <c r="AJ659">
        <v>1169</v>
      </c>
      <c r="AK659">
        <v>1</v>
      </c>
      <c r="AL659">
        <f t="shared" si="10"/>
        <v>1241</v>
      </c>
      <c r="AM659">
        <f>IF(OR(Table1[[#This Row],[marital_Married]]=1,Table1[[#This Row],[marital_Together]]=1),1,0)</f>
        <v>1</v>
      </c>
      <c r="AN659" t="str">
        <f>IF(Table1[[#This Row],[Income]]&gt;=70000,"HIGH INCOME","LOW INCOME")</f>
        <v>HIGH INCOME</v>
      </c>
      <c r="AO659" s="1" t="str">
        <f>IF(Table1[[#This Row],[MNT_TOTAL]]&gt;=900,"HIGH VALUE","LOW VALUE")</f>
        <v>HIGH VALUE</v>
      </c>
      <c r="AP6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59" s="1"/>
      <c r="AR659" s="1"/>
    </row>
    <row r="660" spans="1:44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41</v>
      </c>
      <c r="X660">
        <v>2337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485</v>
      </c>
      <c r="AJ660">
        <v>394</v>
      </c>
      <c r="AK660">
        <v>0</v>
      </c>
      <c r="AL660">
        <f t="shared" si="10"/>
        <v>576</v>
      </c>
      <c r="AM660">
        <f>IF(OR(Table1[[#This Row],[marital_Married]]=1,Table1[[#This Row],[marital_Together]]=1),1,0)</f>
        <v>0</v>
      </c>
      <c r="AN660" t="str">
        <f>IF(Table1[[#This Row],[Income]]&gt;=70000,"HIGH INCOME","LOW INCOME")</f>
        <v>HIGH INCOME</v>
      </c>
      <c r="AO660" s="1" t="str">
        <f>IF(Table1[[#This Row],[MNT_TOTAL]]&gt;=900,"HIGH VALUE","LOW VALUE")</f>
        <v>LOW VALUE</v>
      </c>
      <c r="AP6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0" s="1"/>
      <c r="AR660" s="1"/>
    </row>
    <row r="661" spans="1:44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35</v>
      </c>
      <c r="X661">
        <v>2537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154</v>
      </c>
      <c r="AJ661">
        <v>136</v>
      </c>
      <c r="AK661">
        <v>1</v>
      </c>
      <c r="AL661">
        <f t="shared" si="10"/>
        <v>172</v>
      </c>
      <c r="AM661">
        <f>IF(OR(Table1[[#This Row],[marital_Married]]=1,Table1[[#This Row],[marital_Together]]=1),1,0)</f>
        <v>1</v>
      </c>
      <c r="AN661" t="str">
        <f>IF(Table1[[#This Row],[Income]]&gt;=70000,"HIGH INCOME","LOW INCOME")</f>
        <v>LOW INCOME</v>
      </c>
      <c r="AO661" s="1" t="str">
        <f>IF(Table1[[#This Row],[MNT_TOTAL]]&gt;=900,"HIGH VALUE","LOW VALUE")</f>
        <v>LOW VALUE</v>
      </c>
      <c r="AP6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61" s="1"/>
      <c r="AR661" s="1"/>
    </row>
    <row r="662" spans="1:44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40</v>
      </c>
      <c r="X662">
        <v>2347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658</v>
      </c>
      <c r="AJ662">
        <v>652</v>
      </c>
      <c r="AK662">
        <v>0</v>
      </c>
      <c r="AL662">
        <f t="shared" si="10"/>
        <v>664</v>
      </c>
      <c r="AM662">
        <f>IF(OR(Table1[[#This Row],[marital_Married]]=1,Table1[[#This Row],[marital_Together]]=1),1,0)</f>
        <v>0</v>
      </c>
      <c r="AN662" t="str">
        <f>IF(Table1[[#This Row],[Income]]&gt;=70000,"HIGH INCOME","LOW INCOME")</f>
        <v>LOW INCOME</v>
      </c>
      <c r="AO662" s="1" t="str">
        <f>IF(Table1[[#This Row],[MNT_TOTAL]]&gt;=900,"HIGH VALUE","LOW VALUE")</f>
        <v>LOW VALUE</v>
      </c>
      <c r="AP6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2" s="1"/>
      <c r="AR662" s="1"/>
    </row>
    <row r="663" spans="1:44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57</v>
      </c>
      <c r="X663">
        <v>2413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774</v>
      </c>
      <c r="AJ663">
        <v>620</v>
      </c>
      <c r="AK663">
        <v>0</v>
      </c>
      <c r="AL663">
        <f t="shared" si="10"/>
        <v>928</v>
      </c>
      <c r="AM663">
        <f>IF(OR(Table1[[#This Row],[marital_Married]]=1,Table1[[#This Row],[marital_Together]]=1),1,0)</f>
        <v>0</v>
      </c>
      <c r="AN663" t="str">
        <f>IF(Table1[[#This Row],[Income]]&gt;=70000,"HIGH INCOME","LOW INCOME")</f>
        <v>LOW INCOME</v>
      </c>
      <c r="AO663" s="1" t="str">
        <f>IF(Table1[[#This Row],[MNT_TOTAL]]&gt;=900,"HIGH VALUE","LOW VALUE")</f>
        <v>HIGH VALUE</v>
      </c>
      <c r="AP6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3" s="1"/>
      <c r="AR663" s="1"/>
    </row>
    <row r="664" spans="1:44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53</v>
      </c>
      <c r="X664">
        <v>2827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1959</v>
      </c>
      <c r="AJ664">
        <v>1844</v>
      </c>
      <c r="AK664">
        <v>0</v>
      </c>
      <c r="AL664">
        <f t="shared" si="10"/>
        <v>2074</v>
      </c>
      <c r="AM664">
        <f>IF(OR(Table1[[#This Row],[marital_Married]]=1,Table1[[#This Row],[marital_Together]]=1),1,0)</f>
        <v>0</v>
      </c>
      <c r="AN664" t="str">
        <f>IF(Table1[[#This Row],[Income]]&gt;=70000,"HIGH INCOME","LOW INCOME")</f>
        <v>LOW INCOME</v>
      </c>
      <c r="AO664" s="1" t="str">
        <f>IF(Table1[[#This Row],[MNT_TOTAL]]&gt;=900,"HIGH VALUE","LOW VALUE")</f>
        <v>HIGH VALUE</v>
      </c>
      <c r="AP6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4" s="1"/>
      <c r="AR664" s="1"/>
    </row>
    <row r="665" spans="1:44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38</v>
      </c>
      <c r="X665">
        <v>2498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422</v>
      </c>
      <c r="AJ665">
        <v>377</v>
      </c>
      <c r="AK665">
        <v>0</v>
      </c>
      <c r="AL665">
        <f t="shared" si="10"/>
        <v>467</v>
      </c>
      <c r="AM665">
        <f>IF(OR(Table1[[#This Row],[marital_Married]]=1,Table1[[#This Row],[marital_Together]]=1),1,0)</f>
        <v>1</v>
      </c>
      <c r="AN665" t="str">
        <f>IF(Table1[[#This Row],[Income]]&gt;=70000,"HIGH INCOME","LOW INCOME")</f>
        <v>LOW INCOME</v>
      </c>
      <c r="AO665" s="1" t="str">
        <f>IF(Table1[[#This Row],[MNT_TOTAL]]&gt;=900,"HIGH VALUE","LOW VALUE")</f>
        <v>LOW VALUE</v>
      </c>
      <c r="AP6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65" s="1"/>
      <c r="AR665" s="1"/>
    </row>
    <row r="666" spans="1:44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65</v>
      </c>
      <c r="X666">
        <v>2407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216</v>
      </c>
      <c r="AJ666">
        <v>175</v>
      </c>
      <c r="AK666">
        <v>0</v>
      </c>
      <c r="AL666">
        <f t="shared" si="10"/>
        <v>257</v>
      </c>
      <c r="AM666">
        <f>IF(OR(Table1[[#This Row],[marital_Married]]=1,Table1[[#This Row],[marital_Together]]=1),1,0)</f>
        <v>1</v>
      </c>
      <c r="AN666" t="str">
        <f>IF(Table1[[#This Row],[Income]]&gt;=70000,"HIGH INCOME","LOW INCOME")</f>
        <v>LOW INCOME</v>
      </c>
      <c r="AO666" s="1" t="str">
        <f>IF(Table1[[#This Row],[MNT_TOTAL]]&gt;=900,"HIGH VALUE","LOW VALUE")</f>
        <v>LOW VALUE</v>
      </c>
      <c r="AP6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66" s="1"/>
      <c r="AR666" s="1"/>
    </row>
    <row r="667" spans="1:44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53</v>
      </c>
      <c r="X667">
        <v>2351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1092</v>
      </c>
      <c r="AJ667">
        <v>1038</v>
      </c>
      <c r="AK667">
        <v>0</v>
      </c>
      <c r="AL667">
        <f t="shared" si="10"/>
        <v>1146</v>
      </c>
      <c r="AM667">
        <f>IF(OR(Table1[[#This Row],[marital_Married]]=1,Table1[[#This Row],[marital_Together]]=1),1,0)</f>
        <v>1</v>
      </c>
      <c r="AN667" t="str">
        <f>IF(Table1[[#This Row],[Income]]&gt;=70000,"HIGH INCOME","LOW INCOME")</f>
        <v>LOW INCOME</v>
      </c>
      <c r="AO667" s="1" t="str">
        <f>IF(Table1[[#This Row],[MNT_TOTAL]]&gt;=900,"HIGH VALUE","LOW VALUE")</f>
        <v>HIGH VALUE</v>
      </c>
      <c r="AP6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7" s="1"/>
      <c r="AR667" s="1"/>
    </row>
    <row r="668" spans="1:44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44</v>
      </c>
      <c r="X668">
        <v>2638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611</v>
      </c>
      <c r="AJ668">
        <v>533</v>
      </c>
      <c r="AK668">
        <v>0</v>
      </c>
      <c r="AL668">
        <f t="shared" si="10"/>
        <v>689</v>
      </c>
      <c r="AM668">
        <f>IF(OR(Table1[[#This Row],[marital_Married]]=1,Table1[[#This Row],[marital_Together]]=1),1,0)</f>
        <v>0</v>
      </c>
      <c r="AN668" t="str">
        <f>IF(Table1[[#This Row],[Income]]&gt;=70000,"HIGH INCOME","LOW INCOME")</f>
        <v>LOW INCOME</v>
      </c>
      <c r="AO668" s="1" t="str">
        <f>IF(Table1[[#This Row],[MNT_TOTAL]]&gt;=900,"HIGH VALUE","LOW VALUE")</f>
        <v>LOW VALUE</v>
      </c>
      <c r="AP6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68" s="1"/>
      <c r="AR668" s="1"/>
    </row>
    <row r="669" spans="1:44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48</v>
      </c>
      <c r="X669">
        <v>2814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2074</v>
      </c>
      <c r="AJ669">
        <v>2034</v>
      </c>
      <c r="AK669">
        <v>0</v>
      </c>
      <c r="AL669">
        <f t="shared" si="10"/>
        <v>2114</v>
      </c>
      <c r="AM669">
        <f>IF(OR(Table1[[#This Row],[marital_Married]]=1,Table1[[#This Row],[marital_Together]]=1),1,0)</f>
        <v>0</v>
      </c>
      <c r="AN669" t="str">
        <f>IF(Table1[[#This Row],[Income]]&gt;=70000,"HIGH INCOME","LOW INCOME")</f>
        <v>HIGH INCOME</v>
      </c>
      <c r="AO669" s="1" t="str">
        <f>IF(Table1[[#This Row],[MNT_TOTAL]]&gt;=900,"HIGH VALUE","LOW VALUE")</f>
        <v>HIGH VALUE</v>
      </c>
      <c r="AP6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69" s="1"/>
      <c r="AR669" s="1"/>
    </row>
    <row r="670" spans="1:44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31</v>
      </c>
      <c r="X670">
        <v>2203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1320</v>
      </c>
      <c r="AJ670">
        <v>1294</v>
      </c>
      <c r="AK670">
        <v>2</v>
      </c>
      <c r="AL670">
        <f t="shared" si="10"/>
        <v>1346</v>
      </c>
      <c r="AM670">
        <f>IF(OR(Table1[[#This Row],[marital_Married]]=1,Table1[[#This Row],[marital_Together]]=1),1,0)</f>
        <v>1</v>
      </c>
      <c r="AN670" t="str">
        <f>IF(Table1[[#This Row],[Income]]&gt;=70000,"HIGH INCOME","LOW INCOME")</f>
        <v>HIGH INCOME</v>
      </c>
      <c r="AO670" s="1" t="str">
        <f>IF(Table1[[#This Row],[MNT_TOTAL]]&gt;=900,"HIGH VALUE","LOW VALUE")</f>
        <v>HIGH VALUE</v>
      </c>
      <c r="AP6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70" s="1"/>
      <c r="AR670" s="1"/>
    </row>
    <row r="671" spans="1:44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51</v>
      </c>
      <c r="X671">
        <v>2431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977</v>
      </c>
      <c r="AJ671">
        <v>910</v>
      </c>
      <c r="AK671">
        <v>0</v>
      </c>
      <c r="AL671">
        <f t="shared" si="10"/>
        <v>1044</v>
      </c>
      <c r="AM671">
        <f>IF(OR(Table1[[#This Row],[marital_Married]]=1,Table1[[#This Row],[marital_Together]]=1),1,0)</f>
        <v>1</v>
      </c>
      <c r="AN671" t="str">
        <f>IF(Table1[[#This Row],[Income]]&gt;=70000,"HIGH INCOME","LOW INCOME")</f>
        <v>LOW INCOME</v>
      </c>
      <c r="AO671" s="1" t="str">
        <f>IF(Table1[[#This Row],[MNT_TOTAL]]&gt;=900,"HIGH VALUE","LOW VALUE")</f>
        <v>HIGH VALUE</v>
      </c>
      <c r="AP6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1" s="1"/>
      <c r="AR671" s="1"/>
    </row>
    <row r="672" spans="1:44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60</v>
      </c>
      <c r="X672">
        <v>2792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489</v>
      </c>
      <c r="AJ672">
        <v>485</v>
      </c>
      <c r="AK672">
        <v>1</v>
      </c>
      <c r="AL672">
        <f t="shared" si="10"/>
        <v>493</v>
      </c>
      <c r="AM672">
        <f>IF(OR(Table1[[#This Row],[marital_Married]]=1,Table1[[#This Row],[marital_Together]]=1),1,0)</f>
        <v>0</v>
      </c>
      <c r="AN672" t="str">
        <f>IF(Table1[[#This Row],[Income]]&gt;=70000,"HIGH INCOME","LOW INCOME")</f>
        <v>LOW INCOME</v>
      </c>
      <c r="AO672" s="1" t="str">
        <f>IF(Table1[[#This Row],[MNT_TOTAL]]&gt;=900,"HIGH VALUE","LOW VALUE")</f>
        <v>LOW VALUE</v>
      </c>
      <c r="AP6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2" s="1"/>
      <c r="AR672" s="1"/>
    </row>
    <row r="673" spans="1:44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50</v>
      </c>
      <c r="X673">
        <v>2467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858</v>
      </c>
      <c r="AJ673">
        <v>759</v>
      </c>
      <c r="AK673">
        <v>0</v>
      </c>
      <c r="AL673">
        <f t="shared" si="10"/>
        <v>957</v>
      </c>
      <c r="AM673">
        <f>IF(OR(Table1[[#This Row],[marital_Married]]=1,Table1[[#This Row],[marital_Together]]=1),1,0)</f>
        <v>0</v>
      </c>
      <c r="AN673" t="str">
        <f>IF(Table1[[#This Row],[Income]]&gt;=70000,"HIGH INCOME","LOW INCOME")</f>
        <v>LOW INCOME</v>
      </c>
      <c r="AO673" s="1" t="str">
        <f>IF(Table1[[#This Row],[MNT_TOTAL]]&gt;=900,"HIGH VALUE","LOW VALUE")</f>
        <v>HIGH VALUE</v>
      </c>
      <c r="AP6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3" s="1"/>
      <c r="AR673" s="1"/>
    </row>
    <row r="674" spans="1:44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62</v>
      </c>
      <c r="X674">
        <v>2511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190</v>
      </c>
      <c r="AJ674">
        <v>110</v>
      </c>
      <c r="AK674">
        <v>0</v>
      </c>
      <c r="AL674">
        <f t="shared" si="10"/>
        <v>270</v>
      </c>
      <c r="AM674">
        <f>IF(OR(Table1[[#This Row],[marital_Married]]=1,Table1[[#This Row],[marital_Together]]=1),1,0)</f>
        <v>1</v>
      </c>
      <c r="AN674" t="str">
        <f>IF(Table1[[#This Row],[Income]]&gt;=70000,"HIGH INCOME","LOW INCOME")</f>
        <v>LOW INCOME</v>
      </c>
      <c r="AO674" s="1" t="str">
        <f>IF(Table1[[#This Row],[MNT_TOTAL]]&gt;=900,"HIGH VALUE","LOW VALUE")</f>
        <v>LOW VALUE</v>
      </c>
      <c r="AP6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74" s="1"/>
      <c r="AR674" s="1"/>
    </row>
    <row r="675" spans="1:44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68</v>
      </c>
      <c r="X675">
        <v>2398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19</v>
      </c>
      <c r="AJ675">
        <v>9</v>
      </c>
      <c r="AK675">
        <v>0</v>
      </c>
      <c r="AL675">
        <f t="shared" si="10"/>
        <v>29</v>
      </c>
      <c r="AM675">
        <f>IF(OR(Table1[[#This Row],[marital_Married]]=1,Table1[[#This Row],[marital_Together]]=1),1,0)</f>
        <v>1</v>
      </c>
      <c r="AN675" t="str">
        <f>IF(Table1[[#This Row],[Income]]&gt;=70000,"HIGH INCOME","LOW INCOME")</f>
        <v>LOW INCOME</v>
      </c>
      <c r="AO675" s="1" t="str">
        <f>IF(Table1[[#This Row],[MNT_TOTAL]]&gt;=900,"HIGH VALUE","LOW VALUE")</f>
        <v>LOW VALUE</v>
      </c>
      <c r="AP6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75" s="1"/>
      <c r="AR675" s="1"/>
    </row>
    <row r="676" spans="1:44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71</v>
      </c>
      <c r="X676">
        <v>2555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90</v>
      </c>
      <c r="AJ676">
        <v>59</v>
      </c>
      <c r="AK676">
        <v>0</v>
      </c>
      <c r="AL676">
        <f t="shared" si="10"/>
        <v>121</v>
      </c>
      <c r="AM676">
        <f>IF(OR(Table1[[#This Row],[marital_Married]]=1,Table1[[#This Row],[marital_Together]]=1),1,0)</f>
        <v>0</v>
      </c>
      <c r="AN676" t="str">
        <f>IF(Table1[[#This Row],[Income]]&gt;=70000,"HIGH INCOME","LOW INCOME")</f>
        <v>LOW INCOME</v>
      </c>
      <c r="AO676" s="1" t="str">
        <f>IF(Table1[[#This Row],[MNT_TOTAL]]&gt;=900,"HIGH VALUE","LOW VALUE")</f>
        <v>LOW VALUE</v>
      </c>
      <c r="AP6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6" s="1"/>
      <c r="AR676" s="1"/>
    </row>
    <row r="677" spans="1:44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59</v>
      </c>
      <c r="X677">
        <v>2497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120</v>
      </c>
      <c r="AJ677">
        <v>114</v>
      </c>
      <c r="AK677">
        <v>0</v>
      </c>
      <c r="AL677">
        <f t="shared" si="10"/>
        <v>126</v>
      </c>
      <c r="AM677">
        <f>IF(OR(Table1[[#This Row],[marital_Married]]=1,Table1[[#This Row],[marital_Together]]=1),1,0)</f>
        <v>1</v>
      </c>
      <c r="AN677" t="str">
        <f>IF(Table1[[#This Row],[Income]]&gt;=70000,"HIGH INCOME","LOW INCOME")</f>
        <v>LOW INCOME</v>
      </c>
      <c r="AO677" s="1" t="str">
        <f>IF(Table1[[#This Row],[MNT_TOTAL]]&gt;=900,"HIGH VALUE","LOW VALUE")</f>
        <v>LOW VALUE</v>
      </c>
      <c r="AP6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77" s="1"/>
      <c r="AR677" s="1"/>
    </row>
    <row r="678" spans="1:44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25</v>
      </c>
      <c r="X678">
        <v>2254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19</v>
      </c>
      <c r="AJ678">
        <v>15</v>
      </c>
      <c r="AK678">
        <v>0</v>
      </c>
      <c r="AL678">
        <f t="shared" si="10"/>
        <v>23</v>
      </c>
      <c r="AM678">
        <f>IF(OR(Table1[[#This Row],[marital_Married]]=1,Table1[[#This Row],[marital_Together]]=1),1,0)</f>
        <v>0</v>
      </c>
      <c r="AN678" t="str">
        <f>IF(Table1[[#This Row],[Income]]&gt;=70000,"HIGH INCOME","LOW INCOME")</f>
        <v>LOW INCOME</v>
      </c>
      <c r="AO678" s="1" t="str">
        <f>IF(Table1[[#This Row],[MNT_TOTAL]]&gt;=900,"HIGH VALUE","LOW VALUE")</f>
        <v>LOW VALUE</v>
      </c>
      <c r="AP6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8" s="1"/>
      <c r="AR678" s="1"/>
    </row>
    <row r="679" spans="1:44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71</v>
      </c>
      <c r="X679">
        <v>2606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55</v>
      </c>
      <c r="AJ679">
        <v>53</v>
      </c>
      <c r="AK679">
        <v>0</v>
      </c>
      <c r="AL679">
        <f t="shared" si="10"/>
        <v>57</v>
      </c>
      <c r="AM679">
        <f>IF(OR(Table1[[#This Row],[marital_Married]]=1,Table1[[#This Row],[marital_Together]]=1),1,0)</f>
        <v>0</v>
      </c>
      <c r="AN679" t="str">
        <f>IF(Table1[[#This Row],[Income]]&gt;=70000,"HIGH INCOME","LOW INCOME")</f>
        <v>LOW INCOME</v>
      </c>
      <c r="AO679" s="1" t="str">
        <f>IF(Table1[[#This Row],[MNT_TOTAL]]&gt;=900,"HIGH VALUE","LOW VALUE")</f>
        <v>LOW VALUE</v>
      </c>
      <c r="AP6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79" s="1"/>
      <c r="AR679" s="1"/>
    </row>
    <row r="680" spans="1:44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59</v>
      </c>
      <c r="X680">
        <v>2397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607</v>
      </c>
      <c r="AJ680">
        <v>578</v>
      </c>
      <c r="AK680">
        <v>0</v>
      </c>
      <c r="AL680">
        <f t="shared" si="10"/>
        <v>636</v>
      </c>
      <c r="AM680">
        <f>IF(OR(Table1[[#This Row],[marital_Married]]=1,Table1[[#This Row],[marital_Together]]=1),1,0)</f>
        <v>0</v>
      </c>
      <c r="AN680" t="str">
        <f>IF(Table1[[#This Row],[Income]]&gt;=70000,"HIGH INCOME","LOW INCOME")</f>
        <v>LOW INCOME</v>
      </c>
      <c r="AO680" s="1" t="str">
        <f>IF(Table1[[#This Row],[MNT_TOTAL]]&gt;=900,"HIGH VALUE","LOW VALUE")</f>
        <v>LOW VALUE</v>
      </c>
      <c r="AP6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0" s="1"/>
      <c r="AR680" s="1"/>
    </row>
    <row r="681" spans="1:44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60</v>
      </c>
      <c r="X681">
        <v>2240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970</v>
      </c>
      <c r="AJ681">
        <v>936</v>
      </c>
      <c r="AK681">
        <v>1</v>
      </c>
      <c r="AL681">
        <f t="shared" si="10"/>
        <v>1004</v>
      </c>
      <c r="AM681">
        <f>IF(OR(Table1[[#This Row],[marital_Married]]=1,Table1[[#This Row],[marital_Together]]=1),1,0)</f>
        <v>1</v>
      </c>
      <c r="AN681" t="str">
        <f>IF(Table1[[#This Row],[Income]]&gt;=70000,"HIGH INCOME","LOW INCOME")</f>
        <v>HIGH INCOME</v>
      </c>
      <c r="AO681" s="1" t="str">
        <f>IF(Table1[[#This Row],[MNT_TOTAL]]&gt;=900,"HIGH VALUE","LOW VALUE")</f>
        <v>HIGH VALUE</v>
      </c>
      <c r="AP6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81" s="1"/>
      <c r="AR681" s="1"/>
    </row>
    <row r="682" spans="1:44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47</v>
      </c>
      <c r="X682">
        <v>2444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700</v>
      </c>
      <c r="AJ682">
        <v>666</v>
      </c>
      <c r="AK682">
        <v>0</v>
      </c>
      <c r="AL682">
        <f t="shared" si="10"/>
        <v>734</v>
      </c>
      <c r="AM682">
        <f>IF(OR(Table1[[#This Row],[marital_Married]]=1,Table1[[#This Row],[marital_Together]]=1),1,0)</f>
        <v>0</v>
      </c>
      <c r="AN682" t="str">
        <f>IF(Table1[[#This Row],[Income]]&gt;=70000,"HIGH INCOME","LOW INCOME")</f>
        <v>HIGH INCOME</v>
      </c>
      <c r="AO682" s="1" t="str">
        <f>IF(Table1[[#This Row],[MNT_TOTAL]]&gt;=900,"HIGH VALUE","LOW VALUE")</f>
        <v>LOW VALUE</v>
      </c>
      <c r="AP6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2" s="1"/>
      <c r="AR682" s="1"/>
    </row>
    <row r="683" spans="1:44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42</v>
      </c>
      <c r="X683">
        <v>2268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591</v>
      </c>
      <c r="AJ683">
        <v>568</v>
      </c>
      <c r="AK683">
        <v>0</v>
      </c>
      <c r="AL683">
        <f t="shared" si="10"/>
        <v>614</v>
      </c>
      <c r="AM683">
        <f>IF(OR(Table1[[#This Row],[marital_Married]]=1,Table1[[#This Row],[marital_Together]]=1),1,0)</f>
        <v>1</v>
      </c>
      <c r="AN683" t="str">
        <f>IF(Table1[[#This Row],[Income]]&gt;=70000,"HIGH INCOME","LOW INCOME")</f>
        <v>HIGH INCOME</v>
      </c>
      <c r="AO683" s="1" t="str">
        <f>IF(Table1[[#This Row],[MNT_TOTAL]]&gt;=900,"HIGH VALUE","LOW VALUE")</f>
        <v>LOW VALUE</v>
      </c>
      <c r="AP6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3" s="1"/>
      <c r="AR683" s="1"/>
    </row>
    <row r="684" spans="1:44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42</v>
      </c>
      <c r="X684">
        <v>2297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1211</v>
      </c>
      <c r="AJ684">
        <v>969</v>
      </c>
      <c r="AK684">
        <v>1</v>
      </c>
      <c r="AL684">
        <f t="shared" si="10"/>
        <v>1453</v>
      </c>
      <c r="AM684">
        <f>IF(OR(Table1[[#This Row],[marital_Married]]=1,Table1[[#This Row],[marital_Together]]=1),1,0)</f>
        <v>0</v>
      </c>
      <c r="AN684" t="str">
        <f>IF(Table1[[#This Row],[Income]]&gt;=70000,"HIGH INCOME","LOW INCOME")</f>
        <v>HIGH INCOME</v>
      </c>
      <c r="AO684" s="1" t="str">
        <f>IF(Table1[[#This Row],[MNT_TOTAL]]&gt;=900,"HIGH VALUE","LOW VALUE")</f>
        <v>HIGH VALUE</v>
      </c>
      <c r="AP6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84" s="1"/>
      <c r="AR684" s="1"/>
    </row>
    <row r="685" spans="1:44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32</v>
      </c>
      <c r="X685">
        <v>2220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1605</v>
      </c>
      <c r="AJ685">
        <v>1589</v>
      </c>
      <c r="AK685">
        <v>3</v>
      </c>
      <c r="AL685">
        <f t="shared" si="10"/>
        <v>1621</v>
      </c>
      <c r="AM685">
        <f>IF(OR(Table1[[#This Row],[marital_Married]]=1,Table1[[#This Row],[marital_Together]]=1),1,0)</f>
        <v>0</v>
      </c>
      <c r="AN685" t="str">
        <f>IF(Table1[[#This Row],[Income]]&gt;=70000,"HIGH INCOME","LOW INCOME")</f>
        <v>HIGH INCOME</v>
      </c>
      <c r="AO685" s="1" t="str">
        <f>IF(Table1[[#This Row],[MNT_TOTAL]]&gt;=900,"HIGH VALUE","LOW VALUE")</f>
        <v>HIGH VALUE</v>
      </c>
      <c r="AP6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85" s="1"/>
      <c r="AR685" s="1"/>
    </row>
    <row r="686" spans="1:44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52</v>
      </c>
      <c r="X686">
        <v>2344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182</v>
      </c>
      <c r="AJ686">
        <v>177</v>
      </c>
      <c r="AK686">
        <v>0</v>
      </c>
      <c r="AL686">
        <f t="shared" si="10"/>
        <v>187</v>
      </c>
      <c r="AM686">
        <f>IF(OR(Table1[[#This Row],[marital_Married]]=1,Table1[[#This Row],[marital_Together]]=1),1,0)</f>
        <v>0</v>
      </c>
      <c r="AN686" t="str">
        <f>IF(Table1[[#This Row],[Income]]&gt;=70000,"HIGH INCOME","LOW INCOME")</f>
        <v>LOW INCOME</v>
      </c>
      <c r="AO686" s="1" t="str">
        <f>IF(Table1[[#This Row],[MNT_TOTAL]]&gt;=900,"HIGH VALUE","LOW VALUE")</f>
        <v>LOW VALUE</v>
      </c>
      <c r="AP6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6" s="1"/>
      <c r="AR686" s="1"/>
    </row>
    <row r="687" spans="1:44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34</v>
      </c>
      <c r="X687">
        <v>2694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1350</v>
      </c>
      <c r="AJ687">
        <v>1257</v>
      </c>
      <c r="AK687">
        <v>2</v>
      </c>
      <c r="AL687">
        <f t="shared" si="10"/>
        <v>1443</v>
      </c>
      <c r="AM687">
        <f>IF(OR(Table1[[#This Row],[marital_Married]]=1,Table1[[#This Row],[marital_Together]]=1),1,0)</f>
        <v>1</v>
      </c>
      <c r="AN687" t="str">
        <f>IF(Table1[[#This Row],[Income]]&gt;=70000,"HIGH INCOME","LOW INCOME")</f>
        <v>HIGH INCOME</v>
      </c>
      <c r="AO687" s="1" t="str">
        <f>IF(Table1[[#This Row],[MNT_TOTAL]]&gt;=900,"HIGH VALUE","LOW VALUE")</f>
        <v>HIGH VALUE</v>
      </c>
      <c r="AP6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87" s="1"/>
      <c r="AR687" s="1"/>
    </row>
    <row r="688" spans="1:44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50</v>
      </c>
      <c r="X688">
        <v>2161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39</v>
      </c>
      <c r="AJ688">
        <v>21</v>
      </c>
      <c r="AK688">
        <v>0</v>
      </c>
      <c r="AL688">
        <f t="shared" si="10"/>
        <v>57</v>
      </c>
      <c r="AM688">
        <f>IF(OR(Table1[[#This Row],[marital_Married]]=1,Table1[[#This Row],[marital_Together]]=1),1,0)</f>
        <v>0</v>
      </c>
      <c r="AN688" t="str">
        <f>IF(Table1[[#This Row],[Income]]&gt;=70000,"HIGH INCOME","LOW INCOME")</f>
        <v>LOW INCOME</v>
      </c>
      <c r="AO688" s="1" t="str">
        <f>IF(Table1[[#This Row],[MNT_TOTAL]]&gt;=900,"HIGH VALUE","LOW VALUE")</f>
        <v>LOW VALUE</v>
      </c>
      <c r="AP6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8" s="1"/>
      <c r="AR688" s="1"/>
    </row>
    <row r="689" spans="1:44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69</v>
      </c>
      <c r="X689">
        <v>2604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607</v>
      </c>
      <c r="AJ689">
        <v>577</v>
      </c>
      <c r="AK689">
        <v>0</v>
      </c>
      <c r="AL689">
        <f t="shared" si="10"/>
        <v>637</v>
      </c>
      <c r="AM689">
        <f>IF(OR(Table1[[#This Row],[marital_Married]]=1,Table1[[#This Row],[marital_Together]]=1),1,0)</f>
        <v>0</v>
      </c>
      <c r="AN689" t="str">
        <f>IF(Table1[[#This Row],[Income]]&gt;=70000,"HIGH INCOME","LOW INCOME")</f>
        <v>LOW INCOME</v>
      </c>
      <c r="AO689" s="1" t="str">
        <f>IF(Table1[[#This Row],[MNT_TOTAL]]&gt;=900,"HIGH VALUE","LOW VALUE")</f>
        <v>LOW VALUE</v>
      </c>
      <c r="AP6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89" s="1"/>
      <c r="AR689" s="1"/>
    </row>
    <row r="690" spans="1:44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72</v>
      </c>
      <c r="X690">
        <v>2379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757</v>
      </c>
      <c r="AJ690">
        <v>566</v>
      </c>
      <c r="AK690">
        <v>1</v>
      </c>
      <c r="AL690">
        <f t="shared" si="10"/>
        <v>948</v>
      </c>
      <c r="AM690">
        <f>IF(OR(Table1[[#This Row],[marital_Married]]=1,Table1[[#This Row],[marital_Together]]=1),1,0)</f>
        <v>1</v>
      </c>
      <c r="AN690" t="str">
        <f>IF(Table1[[#This Row],[Income]]&gt;=70000,"HIGH INCOME","LOW INCOME")</f>
        <v>LOW INCOME</v>
      </c>
      <c r="AO690" s="1" t="str">
        <f>IF(Table1[[#This Row],[MNT_TOTAL]]&gt;=900,"HIGH VALUE","LOW VALUE")</f>
        <v>HIGH VALUE</v>
      </c>
      <c r="AP6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90" s="1"/>
      <c r="AR690" s="1"/>
    </row>
    <row r="691" spans="1:44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49</v>
      </c>
      <c r="X691">
        <v>2694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41</v>
      </c>
      <c r="AJ691">
        <v>23</v>
      </c>
      <c r="AK691">
        <v>1</v>
      </c>
      <c r="AL691">
        <f t="shared" si="10"/>
        <v>59</v>
      </c>
      <c r="AM691">
        <f>IF(OR(Table1[[#This Row],[marital_Married]]=1,Table1[[#This Row],[marital_Together]]=1),1,0)</f>
        <v>1</v>
      </c>
      <c r="AN691" t="str">
        <f>IF(Table1[[#This Row],[Income]]&gt;=70000,"HIGH INCOME","LOW INCOME")</f>
        <v>LOW INCOME</v>
      </c>
      <c r="AO691" s="1" t="str">
        <f>IF(Table1[[#This Row],[MNT_TOTAL]]&gt;=900,"HIGH VALUE","LOW VALUE")</f>
        <v>LOW VALUE</v>
      </c>
      <c r="AP6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1" s="1"/>
      <c r="AR691" s="1"/>
    </row>
    <row r="692" spans="1:44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34</v>
      </c>
      <c r="X692">
        <v>2511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12</v>
      </c>
      <c r="AJ692">
        <v>6</v>
      </c>
      <c r="AK692">
        <v>0</v>
      </c>
      <c r="AL692">
        <f t="shared" si="10"/>
        <v>18</v>
      </c>
      <c r="AM692">
        <f>IF(OR(Table1[[#This Row],[marital_Married]]=1,Table1[[#This Row],[marital_Together]]=1),1,0)</f>
        <v>1</v>
      </c>
      <c r="AN692" t="str">
        <f>IF(Table1[[#This Row],[Income]]&gt;=70000,"HIGH INCOME","LOW INCOME")</f>
        <v>LOW INCOME</v>
      </c>
      <c r="AO692" s="1" t="str">
        <f>IF(Table1[[#This Row],[MNT_TOTAL]]&gt;=900,"HIGH VALUE","LOW VALUE")</f>
        <v>LOW VALUE</v>
      </c>
      <c r="AP6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2" s="1"/>
      <c r="AR692" s="1"/>
    </row>
    <row r="693" spans="1:44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55</v>
      </c>
      <c r="X693">
        <v>2775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837</v>
      </c>
      <c r="AJ693">
        <v>771</v>
      </c>
      <c r="AK693">
        <v>0</v>
      </c>
      <c r="AL693">
        <f t="shared" si="10"/>
        <v>903</v>
      </c>
      <c r="AM693">
        <f>IF(OR(Table1[[#This Row],[marital_Married]]=1,Table1[[#This Row],[marital_Together]]=1),1,0)</f>
        <v>0</v>
      </c>
      <c r="AN693" t="str">
        <f>IF(Table1[[#This Row],[Income]]&gt;=70000,"HIGH INCOME","LOW INCOME")</f>
        <v>LOW INCOME</v>
      </c>
      <c r="AO693" s="1" t="str">
        <f>IF(Table1[[#This Row],[MNT_TOTAL]]&gt;=900,"HIGH VALUE","LOW VALUE")</f>
        <v>HIGH VALUE</v>
      </c>
      <c r="AP6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93" s="1"/>
      <c r="AR693" s="1"/>
    </row>
    <row r="694" spans="1:44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45</v>
      </c>
      <c r="X694">
        <v>2653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70</v>
      </c>
      <c r="AJ694">
        <v>28</v>
      </c>
      <c r="AK694">
        <v>0</v>
      </c>
      <c r="AL694">
        <f t="shared" si="10"/>
        <v>112</v>
      </c>
      <c r="AM694">
        <f>IF(OR(Table1[[#This Row],[marital_Married]]=1,Table1[[#This Row],[marital_Together]]=1),1,0)</f>
        <v>0</v>
      </c>
      <c r="AN694" t="str">
        <f>IF(Table1[[#This Row],[Income]]&gt;=70000,"HIGH INCOME","LOW INCOME")</f>
        <v>LOW INCOME</v>
      </c>
      <c r="AO694" s="1" t="str">
        <f>IF(Table1[[#This Row],[MNT_TOTAL]]&gt;=900,"HIGH VALUE","LOW VALUE")</f>
        <v>LOW VALUE</v>
      </c>
      <c r="AP6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694" s="1"/>
      <c r="AR694" s="1"/>
    </row>
    <row r="695" spans="1:44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67</v>
      </c>
      <c r="X695">
        <v>2570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547</v>
      </c>
      <c r="AJ695">
        <v>498</v>
      </c>
      <c r="AK695">
        <v>0</v>
      </c>
      <c r="AL695">
        <f t="shared" si="10"/>
        <v>596</v>
      </c>
      <c r="AM695">
        <f>IF(OR(Table1[[#This Row],[marital_Married]]=1,Table1[[#This Row],[marital_Together]]=1),1,0)</f>
        <v>1</v>
      </c>
      <c r="AN695" t="str">
        <f>IF(Table1[[#This Row],[Income]]&gt;=70000,"HIGH INCOME","LOW INCOME")</f>
        <v>LOW INCOME</v>
      </c>
      <c r="AO695" s="1" t="str">
        <f>IF(Table1[[#This Row],[MNT_TOTAL]]&gt;=900,"HIGH VALUE","LOW VALUE")</f>
        <v>LOW VALUE</v>
      </c>
      <c r="AP6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5" s="1"/>
      <c r="AR695" s="1"/>
    </row>
    <row r="696" spans="1:44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38</v>
      </c>
      <c r="X696">
        <v>2485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229</v>
      </c>
      <c r="AJ696">
        <v>225</v>
      </c>
      <c r="AK696">
        <v>0</v>
      </c>
      <c r="AL696">
        <f t="shared" si="10"/>
        <v>233</v>
      </c>
      <c r="AM696">
        <f>IF(OR(Table1[[#This Row],[marital_Married]]=1,Table1[[#This Row],[marital_Together]]=1),1,0)</f>
        <v>1</v>
      </c>
      <c r="AN696" t="str">
        <f>IF(Table1[[#This Row],[Income]]&gt;=70000,"HIGH INCOME","LOW INCOME")</f>
        <v>LOW INCOME</v>
      </c>
      <c r="AO696" s="1" t="str">
        <f>IF(Table1[[#This Row],[MNT_TOTAL]]&gt;=900,"HIGH VALUE","LOW VALUE")</f>
        <v>LOW VALUE</v>
      </c>
      <c r="AP6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6" s="1"/>
      <c r="AR696" s="1"/>
    </row>
    <row r="697" spans="1:44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45</v>
      </c>
      <c r="X697">
        <v>2728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1364</v>
      </c>
      <c r="AJ697">
        <v>1217</v>
      </c>
      <c r="AK697">
        <v>0</v>
      </c>
      <c r="AL697">
        <f t="shared" si="10"/>
        <v>1511</v>
      </c>
      <c r="AM697">
        <f>IF(OR(Table1[[#This Row],[marital_Married]]=1,Table1[[#This Row],[marital_Together]]=1),1,0)</f>
        <v>1</v>
      </c>
      <c r="AN697" t="str">
        <f>IF(Table1[[#This Row],[Income]]&gt;=70000,"HIGH INCOME","LOW INCOME")</f>
        <v>HIGH INCOME</v>
      </c>
      <c r="AO697" s="1" t="str">
        <f>IF(Table1[[#This Row],[MNT_TOTAL]]&gt;=900,"HIGH VALUE","LOW VALUE")</f>
        <v>HIGH VALUE</v>
      </c>
      <c r="AP6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697" s="1"/>
      <c r="AR697" s="1"/>
    </row>
    <row r="698" spans="1:44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60</v>
      </c>
      <c r="X698">
        <v>2803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1072</v>
      </c>
      <c r="AJ698">
        <v>992</v>
      </c>
      <c r="AK698">
        <v>1</v>
      </c>
      <c r="AL698">
        <f t="shared" si="10"/>
        <v>1152</v>
      </c>
      <c r="AM698">
        <f>IF(OR(Table1[[#This Row],[marital_Married]]=1,Table1[[#This Row],[marital_Together]]=1),1,0)</f>
        <v>0</v>
      </c>
      <c r="AN698" t="str">
        <f>IF(Table1[[#This Row],[Income]]&gt;=70000,"HIGH INCOME","LOW INCOME")</f>
        <v>HIGH INCOME</v>
      </c>
      <c r="AO698" s="1" t="str">
        <f>IF(Table1[[#This Row],[MNT_TOTAL]]&gt;=900,"HIGH VALUE","LOW VALUE")</f>
        <v>HIGH VALUE</v>
      </c>
      <c r="AP6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698" s="1"/>
      <c r="AR698" s="1"/>
    </row>
    <row r="699" spans="1:44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42</v>
      </c>
      <c r="X699">
        <v>2662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43</v>
      </c>
      <c r="AJ699">
        <v>38</v>
      </c>
      <c r="AK699">
        <v>0</v>
      </c>
      <c r="AL699">
        <f t="shared" si="10"/>
        <v>48</v>
      </c>
      <c r="AM699">
        <f>IF(OR(Table1[[#This Row],[marital_Married]]=1,Table1[[#This Row],[marital_Together]]=1),1,0)</f>
        <v>1</v>
      </c>
      <c r="AN699" t="str">
        <f>IF(Table1[[#This Row],[Income]]&gt;=70000,"HIGH INCOME","LOW INCOME")</f>
        <v>LOW INCOME</v>
      </c>
      <c r="AO699" s="1" t="str">
        <f>IF(Table1[[#This Row],[MNT_TOTAL]]&gt;=900,"HIGH VALUE","LOW VALUE")</f>
        <v>LOW VALUE</v>
      </c>
      <c r="AP6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699" s="1"/>
      <c r="AR699" s="1"/>
    </row>
    <row r="700" spans="1:44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50</v>
      </c>
      <c r="X700">
        <v>2614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1011</v>
      </c>
      <c r="AJ700">
        <v>837</v>
      </c>
      <c r="AK700">
        <v>0</v>
      </c>
      <c r="AL700">
        <f t="shared" si="10"/>
        <v>1185</v>
      </c>
      <c r="AM700">
        <f>IF(OR(Table1[[#This Row],[marital_Married]]=1,Table1[[#This Row],[marital_Together]]=1),1,0)</f>
        <v>0</v>
      </c>
      <c r="AN700" t="str">
        <f>IF(Table1[[#This Row],[Income]]&gt;=70000,"HIGH INCOME","LOW INCOME")</f>
        <v>LOW INCOME</v>
      </c>
      <c r="AO700" s="1" t="str">
        <f>IF(Table1[[#This Row],[MNT_TOTAL]]&gt;=900,"HIGH VALUE","LOW VALUE")</f>
        <v>HIGH VALUE</v>
      </c>
      <c r="AP7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00" s="1"/>
      <c r="AR700" s="1"/>
    </row>
    <row r="701" spans="1:44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62</v>
      </c>
      <c r="X701">
        <v>2251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18</v>
      </c>
      <c r="AJ701">
        <v>15</v>
      </c>
      <c r="AK701">
        <v>0</v>
      </c>
      <c r="AL701">
        <f t="shared" si="10"/>
        <v>21</v>
      </c>
      <c r="AM701">
        <f>IF(OR(Table1[[#This Row],[marital_Married]]=1,Table1[[#This Row],[marital_Together]]=1),1,0)</f>
        <v>0</v>
      </c>
      <c r="AN701" t="str">
        <f>IF(Table1[[#This Row],[Income]]&gt;=70000,"HIGH INCOME","LOW INCOME")</f>
        <v>LOW INCOME</v>
      </c>
      <c r="AO701" s="1" t="str">
        <f>IF(Table1[[#This Row],[MNT_TOTAL]]&gt;=900,"HIGH VALUE","LOW VALUE")</f>
        <v>LOW VALUE</v>
      </c>
      <c r="AP7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01" s="1"/>
      <c r="AR701" s="1"/>
    </row>
    <row r="702" spans="1:44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55</v>
      </c>
      <c r="X702">
        <v>2716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956</v>
      </c>
      <c r="AJ702">
        <v>947</v>
      </c>
      <c r="AK702">
        <v>0</v>
      </c>
      <c r="AL702">
        <f t="shared" si="10"/>
        <v>965</v>
      </c>
      <c r="AM702">
        <f>IF(OR(Table1[[#This Row],[marital_Married]]=1,Table1[[#This Row],[marital_Together]]=1),1,0)</f>
        <v>1</v>
      </c>
      <c r="AN702" t="str">
        <f>IF(Table1[[#This Row],[Income]]&gt;=70000,"HIGH INCOME","LOW INCOME")</f>
        <v>HIGH INCOME</v>
      </c>
      <c r="AO702" s="1" t="str">
        <f>IF(Table1[[#This Row],[MNT_TOTAL]]&gt;=900,"HIGH VALUE","LOW VALUE")</f>
        <v>HIGH VALUE</v>
      </c>
      <c r="AP7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02" s="1"/>
      <c r="AR702" s="1"/>
    </row>
    <row r="703" spans="1:44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66</v>
      </c>
      <c r="X703">
        <v>2582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714</v>
      </c>
      <c r="AJ703">
        <v>559</v>
      </c>
      <c r="AK703">
        <v>0</v>
      </c>
      <c r="AL703">
        <f t="shared" si="10"/>
        <v>869</v>
      </c>
      <c r="AM703">
        <f>IF(OR(Table1[[#This Row],[marital_Married]]=1,Table1[[#This Row],[marital_Together]]=1),1,0)</f>
        <v>1</v>
      </c>
      <c r="AN703" t="str">
        <f>IF(Table1[[#This Row],[Income]]&gt;=70000,"HIGH INCOME","LOW INCOME")</f>
        <v>LOW INCOME</v>
      </c>
      <c r="AO703" s="1" t="str">
        <f>IF(Table1[[#This Row],[MNT_TOTAL]]&gt;=900,"HIGH VALUE","LOW VALUE")</f>
        <v>LOW VALUE</v>
      </c>
      <c r="AP7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03" s="1"/>
      <c r="AR703" s="1"/>
    </row>
    <row r="704" spans="1:44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36</v>
      </c>
      <c r="X704">
        <v>2196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15</v>
      </c>
      <c r="AJ704">
        <v>14</v>
      </c>
      <c r="AK704">
        <v>0</v>
      </c>
      <c r="AL704">
        <f t="shared" si="10"/>
        <v>16</v>
      </c>
      <c r="AM704">
        <f>IF(OR(Table1[[#This Row],[marital_Married]]=1,Table1[[#This Row],[marital_Together]]=1),1,0)</f>
        <v>1</v>
      </c>
      <c r="AN704" t="str">
        <f>IF(Table1[[#This Row],[Income]]&gt;=70000,"HIGH INCOME","LOW INCOME")</f>
        <v>LOW INCOME</v>
      </c>
      <c r="AO704" s="1" t="str">
        <f>IF(Table1[[#This Row],[MNT_TOTAL]]&gt;=900,"HIGH VALUE","LOW VALUE")</f>
        <v>LOW VALUE</v>
      </c>
      <c r="AP7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04" s="1"/>
      <c r="AR704" s="1"/>
    </row>
    <row r="705" spans="1:44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55</v>
      </c>
      <c r="X705">
        <v>2660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1698</v>
      </c>
      <c r="AJ705">
        <v>1449</v>
      </c>
      <c r="AK705">
        <v>0</v>
      </c>
      <c r="AL705">
        <f t="shared" si="10"/>
        <v>1947</v>
      </c>
      <c r="AM705">
        <f>IF(OR(Table1[[#This Row],[marital_Married]]=1,Table1[[#This Row],[marital_Together]]=1),1,0)</f>
        <v>1</v>
      </c>
      <c r="AN705" t="str">
        <f>IF(Table1[[#This Row],[Income]]&gt;=70000,"HIGH INCOME","LOW INCOME")</f>
        <v>HIGH INCOME</v>
      </c>
      <c r="AO705" s="1" t="str">
        <f>IF(Table1[[#This Row],[MNT_TOTAL]]&gt;=900,"HIGH VALUE","LOW VALUE")</f>
        <v>HIGH VALUE</v>
      </c>
      <c r="AP7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05" s="1"/>
      <c r="AR705" s="1"/>
    </row>
    <row r="706" spans="1:44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44</v>
      </c>
      <c r="X706">
        <v>2856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39</v>
      </c>
      <c r="AJ706">
        <v>7</v>
      </c>
      <c r="AK706">
        <v>1</v>
      </c>
      <c r="AL706">
        <f t="shared" ref="AL706:AL769" si="11">SUM(E706:J706)</f>
        <v>71</v>
      </c>
      <c r="AM706">
        <f>IF(OR(Table1[[#This Row],[marital_Married]]=1,Table1[[#This Row],[marital_Together]]=1),1,0)</f>
        <v>1</v>
      </c>
      <c r="AN706" t="str">
        <f>IF(Table1[[#This Row],[Income]]&gt;=70000,"HIGH INCOME","LOW INCOME")</f>
        <v>LOW INCOME</v>
      </c>
      <c r="AO706" s="1" t="str">
        <f>IF(Table1[[#This Row],[MNT_TOTAL]]&gt;=900,"HIGH VALUE","LOW VALUE")</f>
        <v>LOW VALUE</v>
      </c>
      <c r="AP7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06" s="1"/>
      <c r="AR706" s="1"/>
    </row>
    <row r="707" spans="1:44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2180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61</v>
      </c>
      <c r="AJ707">
        <v>57</v>
      </c>
      <c r="AK707">
        <v>0</v>
      </c>
      <c r="AL707">
        <f t="shared" si="11"/>
        <v>65</v>
      </c>
      <c r="AM707">
        <f>IF(OR(Table1[[#This Row],[marital_Married]]=1,Table1[[#This Row],[marital_Together]]=1),1,0)</f>
        <v>1</v>
      </c>
      <c r="AN707" t="str">
        <f>IF(Table1[[#This Row],[Income]]&gt;=70000,"HIGH INCOME","LOW INCOME")</f>
        <v>LOW INCOME</v>
      </c>
      <c r="AO707" s="1" t="str">
        <f>IF(Table1[[#This Row],[MNT_TOTAL]]&gt;=900,"HIGH VALUE","LOW VALUE")</f>
        <v>LOW VALUE</v>
      </c>
      <c r="AP7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07" s="1"/>
      <c r="AR707" s="1"/>
    </row>
    <row r="708" spans="1:44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65</v>
      </c>
      <c r="X708">
        <v>2377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1332</v>
      </c>
      <c r="AJ708">
        <v>1284</v>
      </c>
      <c r="AK708">
        <v>1</v>
      </c>
      <c r="AL708">
        <f t="shared" si="11"/>
        <v>1380</v>
      </c>
      <c r="AM708">
        <f>IF(OR(Table1[[#This Row],[marital_Married]]=1,Table1[[#This Row],[marital_Together]]=1),1,0)</f>
        <v>1</v>
      </c>
      <c r="AN708" t="str">
        <f>IF(Table1[[#This Row],[Income]]&gt;=70000,"HIGH INCOME","LOW INCOME")</f>
        <v>HIGH INCOME</v>
      </c>
      <c r="AO708" s="1" t="str">
        <f>IF(Table1[[#This Row],[MNT_TOTAL]]&gt;=900,"HIGH VALUE","LOW VALUE")</f>
        <v>HIGH VALUE</v>
      </c>
      <c r="AP7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08" s="1"/>
      <c r="AR708" s="1"/>
    </row>
    <row r="709" spans="1:44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44</v>
      </c>
      <c r="X709">
        <v>2314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876</v>
      </c>
      <c r="AJ709">
        <v>725</v>
      </c>
      <c r="AK709">
        <v>0</v>
      </c>
      <c r="AL709">
        <f t="shared" si="11"/>
        <v>1027</v>
      </c>
      <c r="AM709">
        <f>IF(OR(Table1[[#This Row],[marital_Married]]=1,Table1[[#This Row],[marital_Together]]=1),1,0)</f>
        <v>0</v>
      </c>
      <c r="AN709" t="str">
        <f>IF(Table1[[#This Row],[Income]]&gt;=70000,"HIGH INCOME","LOW INCOME")</f>
        <v>HIGH INCOME</v>
      </c>
      <c r="AO709" s="1" t="str">
        <f>IF(Table1[[#This Row],[MNT_TOTAL]]&gt;=900,"HIGH VALUE","LOW VALUE")</f>
        <v>HIGH VALUE</v>
      </c>
      <c r="AP7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09" s="1"/>
      <c r="AR709" s="1"/>
    </row>
    <row r="710" spans="1:44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55</v>
      </c>
      <c r="X710">
        <v>2420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385</v>
      </c>
      <c r="AJ710">
        <v>359</v>
      </c>
      <c r="AK710">
        <v>0</v>
      </c>
      <c r="AL710">
        <f t="shared" si="11"/>
        <v>411</v>
      </c>
      <c r="AM710">
        <f>IF(OR(Table1[[#This Row],[marital_Married]]=1,Table1[[#This Row],[marital_Together]]=1),1,0)</f>
        <v>1</v>
      </c>
      <c r="AN710" t="str">
        <f>IF(Table1[[#This Row],[Income]]&gt;=70000,"HIGH INCOME","LOW INCOME")</f>
        <v>LOW INCOME</v>
      </c>
      <c r="AO710" s="1" t="str">
        <f>IF(Table1[[#This Row],[MNT_TOTAL]]&gt;=900,"HIGH VALUE","LOW VALUE")</f>
        <v>LOW VALUE</v>
      </c>
      <c r="AP7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10" s="1"/>
      <c r="AR710" s="1"/>
    </row>
    <row r="711" spans="1:44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29</v>
      </c>
      <c r="X711">
        <v>2599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653</v>
      </c>
      <c r="AJ711">
        <v>470</v>
      </c>
      <c r="AK711">
        <v>1</v>
      </c>
      <c r="AL711">
        <f t="shared" si="11"/>
        <v>836</v>
      </c>
      <c r="AM711">
        <f>IF(OR(Table1[[#This Row],[marital_Married]]=1,Table1[[#This Row],[marital_Together]]=1),1,0)</f>
        <v>1</v>
      </c>
      <c r="AN711" t="str">
        <f>IF(Table1[[#This Row],[Income]]&gt;=70000,"HIGH INCOME","LOW INCOME")</f>
        <v>HIGH INCOME</v>
      </c>
      <c r="AO711" s="1" t="str">
        <f>IF(Table1[[#This Row],[MNT_TOTAL]]&gt;=900,"HIGH VALUE","LOW VALUE")</f>
        <v>LOW VALUE</v>
      </c>
      <c r="AP7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1" s="1"/>
      <c r="AR711" s="1"/>
    </row>
    <row r="712" spans="1:44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71</v>
      </c>
      <c r="X712">
        <v>2434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11</v>
      </c>
      <c r="AJ712">
        <v>11</v>
      </c>
      <c r="AK712">
        <v>0</v>
      </c>
      <c r="AL712">
        <f t="shared" si="11"/>
        <v>11</v>
      </c>
      <c r="AM712">
        <f>IF(OR(Table1[[#This Row],[marital_Married]]=1,Table1[[#This Row],[marital_Together]]=1),1,0)</f>
        <v>0</v>
      </c>
      <c r="AN712" t="str">
        <f>IF(Table1[[#This Row],[Income]]&gt;=70000,"HIGH INCOME","LOW INCOME")</f>
        <v>LOW INCOME</v>
      </c>
      <c r="AO712" s="1" t="str">
        <f>IF(Table1[[#This Row],[MNT_TOTAL]]&gt;=900,"HIGH VALUE","LOW VALUE")</f>
        <v>LOW VALUE</v>
      </c>
      <c r="AP7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2" s="1"/>
      <c r="AR712" s="1"/>
    </row>
    <row r="713" spans="1:44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67</v>
      </c>
      <c r="X713">
        <v>2850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437</v>
      </c>
      <c r="AJ713">
        <v>394</v>
      </c>
      <c r="AK713">
        <v>0</v>
      </c>
      <c r="AL713">
        <f t="shared" si="11"/>
        <v>480</v>
      </c>
      <c r="AM713">
        <f>IF(OR(Table1[[#This Row],[marital_Married]]=1,Table1[[#This Row],[marital_Together]]=1),1,0)</f>
        <v>1</v>
      </c>
      <c r="AN713" t="str">
        <f>IF(Table1[[#This Row],[Income]]&gt;=70000,"HIGH INCOME","LOW INCOME")</f>
        <v>LOW INCOME</v>
      </c>
      <c r="AO713" s="1" t="str">
        <f>IF(Table1[[#This Row],[MNT_TOTAL]]&gt;=900,"HIGH VALUE","LOW VALUE")</f>
        <v>LOW VALUE</v>
      </c>
      <c r="AP7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13" s="1"/>
      <c r="AR713" s="1"/>
    </row>
    <row r="714" spans="1:44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42</v>
      </c>
      <c r="X714">
        <v>2541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497</v>
      </c>
      <c r="AJ714">
        <v>388</v>
      </c>
      <c r="AK714">
        <v>0</v>
      </c>
      <c r="AL714">
        <f t="shared" si="11"/>
        <v>606</v>
      </c>
      <c r="AM714">
        <f>IF(OR(Table1[[#This Row],[marital_Married]]=1,Table1[[#This Row],[marital_Together]]=1),1,0)</f>
        <v>1</v>
      </c>
      <c r="AN714" t="str">
        <f>IF(Table1[[#This Row],[Income]]&gt;=70000,"HIGH INCOME","LOW INCOME")</f>
        <v>LOW INCOME</v>
      </c>
      <c r="AO714" s="1" t="str">
        <f>IF(Table1[[#This Row],[MNT_TOTAL]]&gt;=900,"HIGH VALUE","LOW VALUE")</f>
        <v>LOW VALUE</v>
      </c>
      <c r="AP7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14" s="1"/>
      <c r="AR714" s="1"/>
    </row>
    <row r="715" spans="1:44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72</v>
      </c>
      <c r="X715">
        <v>2415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254</v>
      </c>
      <c r="AJ715">
        <v>224</v>
      </c>
      <c r="AK715">
        <v>0</v>
      </c>
      <c r="AL715">
        <f t="shared" si="11"/>
        <v>284</v>
      </c>
      <c r="AM715">
        <f>IF(OR(Table1[[#This Row],[marital_Married]]=1,Table1[[#This Row],[marital_Together]]=1),1,0)</f>
        <v>0</v>
      </c>
      <c r="AN715" t="str">
        <f>IF(Table1[[#This Row],[Income]]&gt;=70000,"HIGH INCOME","LOW INCOME")</f>
        <v>LOW INCOME</v>
      </c>
      <c r="AO715" s="1" t="str">
        <f>IF(Table1[[#This Row],[MNT_TOTAL]]&gt;=900,"HIGH VALUE","LOW VALUE")</f>
        <v>LOW VALUE</v>
      </c>
      <c r="AP7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5" s="1"/>
      <c r="AR715" s="1"/>
    </row>
    <row r="716" spans="1:44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0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47</v>
      </c>
      <c r="X716">
        <v>2422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1430</v>
      </c>
      <c r="AJ716">
        <v>1388</v>
      </c>
      <c r="AK716">
        <v>3</v>
      </c>
      <c r="AL716">
        <f t="shared" si="11"/>
        <v>1472</v>
      </c>
      <c r="AM716">
        <f>IF(OR(Table1[[#This Row],[marital_Married]]=1,Table1[[#This Row],[marital_Together]]=1),1,0)</f>
        <v>0</v>
      </c>
      <c r="AN716" t="str">
        <f>IF(Table1[[#This Row],[Income]]&gt;=70000,"HIGH INCOME","LOW INCOME")</f>
        <v>HIGH INCOME</v>
      </c>
      <c r="AO716" s="1" t="str">
        <f>IF(Table1[[#This Row],[MNT_TOTAL]]&gt;=900,"HIGH VALUE","LOW VALUE")</f>
        <v>HIGH VALUE</v>
      </c>
      <c r="AP7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16" s="1"/>
      <c r="AR716" s="1"/>
    </row>
    <row r="717" spans="1:44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1</v>
      </c>
      <c r="W717">
        <v>71</v>
      </c>
      <c r="X717">
        <v>2220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1677</v>
      </c>
      <c r="AJ717">
        <v>1677</v>
      </c>
      <c r="AK717">
        <v>3</v>
      </c>
      <c r="AL717">
        <f t="shared" si="11"/>
        <v>1677</v>
      </c>
      <c r="AM717">
        <f>IF(OR(Table1[[#This Row],[marital_Married]]=1,Table1[[#This Row],[marital_Together]]=1),1,0)</f>
        <v>1</v>
      </c>
      <c r="AN717" t="str">
        <f>IF(Table1[[#This Row],[Income]]&gt;=70000,"HIGH INCOME","LOW INCOME")</f>
        <v>HIGH INCOME</v>
      </c>
      <c r="AO717" s="1" t="str">
        <f>IF(Table1[[#This Row],[MNT_TOTAL]]&gt;=900,"HIGH VALUE","LOW VALUE")</f>
        <v>HIGH VALUE</v>
      </c>
      <c r="AP7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17" s="1"/>
      <c r="AR717" s="1"/>
    </row>
    <row r="718" spans="1:44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47</v>
      </c>
      <c r="X718">
        <v>2616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1165</v>
      </c>
      <c r="AJ718">
        <v>995</v>
      </c>
      <c r="AK718">
        <v>0</v>
      </c>
      <c r="AL718">
        <f t="shared" si="11"/>
        <v>1335</v>
      </c>
      <c r="AM718">
        <f>IF(OR(Table1[[#This Row],[marital_Married]]=1,Table1[[#This Row],[marital_Together]]=1),1,0)</f>
        <v>1</v>
      </c>
      <c r="AN718" t="str">
        <f>IF(Table1[[#This Row],[Income]]&gt;=70000,"HIGH INCOME","LOW INCOME")</f>
        <v>LOW INCOME</v>
      </c>
      <c r="AO718" s="1" t="str">
        <f>IF(Table1[[#This Row],[MNT_TOTAL]]&gt;=900,"HIGH VALUE","LOW VALUE")</f>
        <v>HIGH VALUE</v>
      </c>
      <c r="AP7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8" s="1"/>
      <c r="AR718" s="1"/>
    </row>
    <row r="719" spans="1:44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68</v>
      </c>
      <c r="X719">
        <v>2185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313</v>
      </c>
      <c r="AJ719">
        <v>292</v>
      </c>
      <c r="AK719">
        <v>0</v>
      </c>
      <c r="AL719">
        <f t="shared" si="11"/>
        <v>334</v>
      </c>
      <c r="AM719">
        <f>IF(OR(Table1[[#This Row],[marital_Married]]=1,Table1[[#This Row],[marital_Together]]=1),1,0)</f>
        <v>1</v>
      </c>
      <c r="AN719" t="str">
        <f>IF(Table1[[#This Row],[Income]]&gt;=70000,"HIGH INCOME","LOW INCOME")</f>
        <v>HIGH INCOME</v>
      </c>
      <c r="AO719" s="1" t="str">
        <f>IF(Table1[[#This Row],[MNT_TOTAL]]&gt;=900,"HIGH VALUE","LOW VALUE")</f>
        <v>LOW VALUE</v>
      </c>
      <c r="AP7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19" s="1"/>
      <c r="AR719" s="1"/>
    </row>
    <row r="720" spans="1:44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31</v>
      </c>
      <c r="X720">
        <v>2627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12</v>
      </c>
      <c r="AJ720">
        <v>6</v>
      </c>
      <c r="AK720">
        <v>0</v>
      </c>
      <c r="AL720">
        <f t="shared" si="11"/>
        <v>18</v>
      </c>
      <c r="AM720">
        <f>IF(OR(Table1[[#This Row],[marital_Married]]=1,Table1[[#This Row],[marital_Together]]=1),1,0)</f>
        <v>1</v>
      </c>
      <c r="AN720" t="str">
        <f>IF(Table1[[#This Row],[Income]]&gt;=70000,"HIGH INCOME","LOW INCOME")</f>
        <v>LOW INCOME</v>
      </c>
      <c r="AO720" s="1" t="str">
        <f>IF(Table1[[#This Row],[MNT_TOTAL]]&gt;=900,"HIGH VALUE","LOW VALUE")</f>
        <v>LOW VALUE</v>
      </c>
      <c r="AP7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20" s="1"/>
      <c r="AR720" s="1"/>
    </row>
    <row r="721" spans="1:44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51</v>
      </c>
      <c r="X721">
        <v>2848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1241</v>
      </c>
      <c r="AJ721">
        <v>1144</v>
      </c>
      <c r="AK721">
        <v>0</v>
      </c>
      <c r="AL721">
        <f t="shared" si="11"/>
        <v>1338</v>
      </c>
      <c r="AM721">
        <f>IF(OR(Table1[[#This Row],[marital_Married]]=1,Table1[[#This Row],[marital_Together]]=1),1,0)</f>
        <v>1</v>
      </c>
      <c r="AN721" t="str">
        <f>IF(Table1[[#This Row],[Income]]&gt;=70000,"HIGH INCOME","LOW INCOME")</f>
        <v>LOW INCOME</v>
      </c>
      <c r="AO721" s="1" t="str">
        <f>IF(Table1[[#This Row],[MNT_TOTAL]]&gt;=900,"HIGH VALUE","LOW VALUE")</f>
        <v>HIGH VALUE</v>
      </c>
      <c r="AP7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21" s="1"/>
      <c r="AR721" s="1"/>
    </row>
    <row r="722" spans="1:44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67</v>
      </c>
      <c r="X722">
        <v>2622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1078</v>
      </c>
      <c r="AJ722">
        <v>1057</v>
      </c>
      <c r="AK722">
        <v>0</v>
      </c>
      <c r="AL722">
        <f t="shared" si="11"/>
        <v>1099</v>
      </c>
      <c r="AM722">
        <f>IF(OR(Table1[[#This Row],[marital_Married]]=1,Table1[[#This Row],[marital_Together]]=1),1,0)</f>
        <v>0</v>
      </c>
      <c r="AN722" t="str">
        <f>IF(Table1[[#This Row],[Income]]&gt;=70000,"HIGH INCOME","LOW INCOME")</f>
        <v>LOW INCOME</v>
      </c>
      <c r="AO722" s="1" t="str">
        <f>IF(Table1[[#This Row],[MNT_TOTAL]]&gt;=900,"HIGH VALUE","LOW VALUE")</f>
        <v>HIGH VALUE</v>
      </c>
      <c r="AP7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22" s="1"/>
      <c r="AR722" s="1"/>
    </row>
    <row r="723" spans="1:44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64</v>
      </c>
      <c r="X723">
        <v>2639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73</v>
      </c>
      <c r="AJ723">
        <v>49</v>
      </c>
      <c r="AK723">
        <v>0</v>
      </c>
      <c r="AL723">
        <f t="shared" si="11"/>
        <v>97</v>
      </c>
      <c r="AM723">
        <f>IF(OR(Table1[[#This Row],[marital_Married]]=1,Table1[[#This Row],[marital_Together]]=1),1,0)</f>
        <v>1</v>
      </c>
      <c r="AN723" t="str">
        <f>IF(Table1[[#This Row],[Income]]&gt;=70000,"HIGH INCOME","LOW INCOME")</f>
        <v>LOW INCOME</v>
      </c>
      <c r="AO723" s="1" t="str">
        <f>IF(Table1[[#This Row],[MNT_TOTAL]]&gt;=900,"HIGH VALUE","LOW VALUE")</f>
        <v>LOW VALUE</v>
      </c>
      <c r="AP7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23" s="1"/>
      <c r="AR723" s="1"/>
    </row>
    <row r="724" spans="1:44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70</v>
      </c>
      <c r="X724">
        <v>2338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53</v>
      </c>
      <c r="AJ724">
        <v>43</v>
      </c>
      <c r="AK724">
        <v>0</v>
      </c>
      <c r="AL724">
        <f t="shared" si="11"/>
        <v>63</v>
      </c>
      <c r="AM724">
        <f>IF(OR(Table1[[#This Row],[marital_Married]]=1,Table1[[#This Row],[marital_Together]]=1),1,0)</f>
        <v>0</v>
      </c>
      <c r="AN724" t="str">
        <f>IF(Table1[[#This Row],[Income]]&gt;=70000,"HIGH INCOME","LOW INCOME")</f>
        <v>LOW INCOME</v>
      </c>
      <c r="AO724" s="1" t="str">
        <f>IF(Table1[[#This Row],[MNT_TOTAL]]&gt;=900,"HIGH VALUE","LOW VALUE")</f>
        <v>LOW VALUE</v>
      </c>
      <c r="AP7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24" s="1"/>
      <c r="AR724" s="1"/>
    </row>
    <row r="725" spans="1:44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42</v>
      </c>
      <c r="X725">
        <v>2491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69</v>
      </c>
      <c r="AJ725">
        <v>29</v>
      </c>
      <c r="AK725">
        <v>0</v>
      </c>
      <c r="AL725">
        <f t="shared" si="11"/>
        <v>109</v>
      </c>
      <c r="AM725">
        <f>IF(OR(Table1[[#This Row],[marital_Married]]=1,Table1[[#This Row],[marital_Together]]=1),1,0)</f>
        <v>1</v>
      </c>
      <c r="AN725" t="str">
        <f>IF(Table1[[#This Row],[Income]]&gt;=70000,"HIGH INCOME","LOW INCOME")</f>
        <v>LOW INCOME</v>
      </c>
      <c r="AO725" s="1" t="str">
        <f>IF(Table1[[#This Row],[MNT_TOTAL]]&gt;=900,"HIGH VALUE","LOW VALUE")</f>
        <v>LOW VALUE</v>
      </c>
      <c r="AP7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25" s="1"/>
      <c r="AR725" s="1"/>
    </row>
    <row r="726" spans="1:44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56</v>
      </c>
      <c r="X726">
        <v>2314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862</v>
      </c>
      <c r="AJ726">
        <v>822</v>
      </c>
      <c r="AK726">
        <v>1</v>
      </c>
      <c r="AL726">
        <f t="shared" si="11"/>
        <v>902</v>
      </c>
      <c r="AM726">
        <f>IF(OR(Table1[[#This Row],[marital_Married]]=1,Table1[[#This Row],[marital_Together]]=1),1,0)</f>
        <v>1</v>
      </c>
      <c r="AN726" t="str">
        <f>IF(Table1[[#This Row],[Income]]&gt;=70000,"HIGH INCOME","LOW INCOME")</f>
        <v>HIGH INCOME</v>
      </c>
      <c r="AO726" s="1" t="str">
        <f>IF(Table1[[#This Row],[MNT_TOTAL]]&gt;=900,"HIGH VALUE","LOW VALUE")</f>
        <v>HIGH VALUE</v>
      </c>
      <c r="AP7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26" s="1"/>
      <c r="AR726" s="1"/>
    </row>
    <row r="727" spans="1:44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68</v>
      </c>
      <c r="X727">
        <v>2572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1383</v>
      </c>
      <c r="AJ727">
        <v>1192</v>
      </c>
      <c r="AK727">
        <v>1</v>
      </c>
      <c r="AL727">
        <f t="shared" si="11"/>
        <v>1574</v>
      </c>
      <c r="AM727">
        <f>IF(OR(Table1[[#This Row],[marital_Married]]=1,Table1[[#This Row],[marital_Together]]=1),1,0)</f>
        <v>1</v>
      </c>
      <c r="AN727" t="str">
        <f>IF(Table1[[#This Row],[Income]]&gt;=70000,"HIGH INCOME","LOW INCOME")</f>
        <v>HIGH INCOME</v>
      </c>
      <c r="AO727" s="1" t="str">
        <f>IF(Table1[[#This Row],[MNT_TOTAL]]&gt;=900,"HIGH VALUE","LOW VALUE")</f>
        <v>HIGH VALUE</v>
      </c>
      <c r="AP7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27" s="1"/>
      <c r="AR727" s="1"/>
    </row>
    <row r="728" spans="1:44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45</v>
      </c>
      <c r="X728">
        <v>2361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31</v>
      </c>
      <c r="AJ728">
        <v>24</v>
      </c>
      <c r="AK728">
        <v>0</v>
      </c>
      <c r="AL728">
        <f t="shared" si="11"/>
        <v>38</v>
      </c>
      <c r="AM728">
        <f>IF(OR(Table1[[#This Row],[marital_Married]]=1,Table1[[#This Row],[marital_Together]]=1),1,0)</f>
        <v>1</v>
      </c>
      <c r="AN728" t="str">
        <f>IF(Table1[[#This Row],[Income]]&gt;=70000,"HIGH INCOME","LOW INCOME")</f>
        <v>LOW INCOME</v>
      </c>
      <c r="AO728" s="1" t="str">
        <f>IF(Table1[[#This Row],[MNT_TOTAL]]&gt;=900,"HIGH VALUE","LOW VALUE")</f>
        <v>LOW VALUE</v>
      </c>
      <c r="AP7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28" s="1"/>
      <c r="AR728" s="1"/>
    </row>
    <row r="729" spans="1:44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25</v>
      </c>
      <c r="X729">
        <v>2271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916</v>
      </c>
      <c r="AJ729">
        <v>872</v>
      </c>
      <c r="AK729">
        <v>0</v>
      </c>
      <c r="AL729">
        <f t="shared" si="11"/>
        <v>960</v>
      </c>
      <c r="AM729">
        <f>IF(OR(Table1[[#This Row],[marital_Married]]=1,Table1[[#This Row],[marital_Together]]=1),1,0)</f>
        <v>0</v>
      </c>
      <c r="AN729" t="str">
        <f>IF(Table1[[#This Row],[Income]]&gt;=70000,"HIGH INCOME","LOW INCOME")</f>
        <v>HIGH INCOME</v>
      </c>
      <c r="AO729" s="1" t="str">
        <f>IF(Table1[[#This Row],[MNT_TOTAL]]&gt;=900,"HIGH VALUE","LOW VALUE")</f>
        <v>HIGH VALUE</v>
      </c>
      <c r="AP7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29" s="1"/>
      <c r="AR729" s="1"/>
    </row>
    <row r="730" spans="1:44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50</v>
      </c>
      <c r="X730">
        <v>2446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17</v>
      </c>
      <c r="AJ730">
        <v>6</v>
      </c>
      <c r="AK730">
        <v>1</v>
      </c>
      <c r="AL730">
        <f t="shared" si="11"/>
        <v>28</v>
      </c>
      <c r="AM730">
        <f>IF(OR(Table1[[#This Row],[marital_Married]]=1,Table1[[#This Row],[marital_Together]]=1),1,0)</f>
        <v>0</v>
      </c>
      <c r="AN730" t="str">
        <f>IF(Table1[[#This Row],[Income]]&gt;=70000,"HIGH INCOME","LOW INCOME")</f>
        <v>LOW INCOME</v>
      </c>
      <c r="AO730" s="1" t="str">
        <f>IF(Table1[[#This Row],[MNT_TOTAL]]&gt;=900,"HIGH VALUE","LOW VALUE")</f>
        <v>LOW VALUE</v>
      </c>
      <c r="AP7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0" s="1"/>
      <c r="AR730" s="1"/>
    </row>
    <row r="731" spans="1:44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66</v>
      </c>
      <c r="X731">
        <v>2310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1150</v>
      </c>
      <c r="AJ731">
        <v>1085</v>
      </c>
      <c r="AK731">
        <v>1</v>
      </c>
      <c r="AL731">
        <f t="shared" si="11"/>
        <v>1215</v>
      </c>
      <c r="AM731">
        <f>IF(OR(Table1[[#This Row],[marital_Married]]=1,Table1[[#This Row],[marital_Together]]=1),1,0)</f>
        <v>1</v>
      </c>
      <c r="AN731" t="str">
        <f>IF(Table1[[#This Row],[Income]]&gt;=70000,"HIGH INCOME","LOW INCOME")</f>
        <v>LOW INCOME</v>
      </c>
      <c r="AO731" s="1" t="str">
        <f>IF(Table1[[#This Row],[MNT_TOTAL]]&gt;=900,"HIGH VALUE","LOW VALUE")</f>
        <v>HIGH VALUE</v>
      </c>
      <c r="AP7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1" s="1"/>
      <c r="AR731" s="1"/>
    </row>
    <row r="732" spans="1:44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48</v>
      </c>
      <c r="X732">
        <v>2339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1413</v>
      </c>
      <c r="AJ732">
        <v>1329</v>
      </c>
      <c r="AK732">
        <v>0</v>
      </c>
      <c r="AL732">
        <f t="shared" si="11"/>
        <v>1497</v>
      </c>
      <c r="AM732">
        <f>IF(OR(Table1[[#This Row],[marital_Married]]=1,Table1[[#This Row],[marital_Together]]=1),1,0)</f>
        <v>1</v>
      </c>
      <c r="AN732" t="str">
        <f>IF(Table1[[#This Row],[Income]]&gt;=70000,"HIGH INCOME","LOW INCOME")</f>
        <v>HIGH INCOME</v>
      </c>
      <c r="AO732" s="1" t="str">
        <f>IF(Table1[[#This Row],[MNT_TOTAL]]&gt;=900,"HIGH VALUE","LOW VALUE")</f>
        <v>HIGH VALUE</v>
      </c>
      <c r="AP7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32" s="1"/>
      <c r="AR732" s="1"/>
    </row>
    <row r="733" spans="1:44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62</v>
      </c>
      <c r="X733">
        <v>2428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445</v>
      </c>
      <c r="AJ733">
        <v>441</v>
      </c>
      <c r="AK733">
        <v>0</v>
      </c>
      <c r="AL733">
        <f t="shared" si="11"/>
        <v>449</v>
      </c>
      <c r="AM733">
        <f>IF(OR(Table1[[#This Row],[marital_Married]]=1,Table1[[#This Row],[marital_Together]]=1),1,0)</f>
        <v>1</v>
      </c>
      <c r="AN733" t="str">
        <f>IF(Table1[[#This Row],[Income]]&gt;=70000,"HIGH INCOME","LOW INCOME")</f>
        <v>LOW INCOME</v>
      </c>
      <c r="AO733" s="1" t="str">
        <f>IF(Table1[[#This Row],[MNT_TOTAL]]&gt;=900,"HIGH VALUE","LOW VALUE")</f>
        <v>LOW VALUE</v>
      </c>
      <c r="AP7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33" s="1"/>
      <c r="AR733" s="1"/>
    </row>
    <row r="734" spans="1:44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45</v>
      </c>
      <c r="X734">
        <v>2345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913</v>
      </c>
      <c r="AJ734">
        <v>762</v>
      </c>
      <c r="AK734">
        <v>0</v>
      </c>
      <c r="AL734">
        <f t="shared" si="11"/>
        <v>1064</v>
      </c>
      <c r="AM734">
        <f>IF(OR(Table1[[#This Row],[marital_Married]]=1,Table1[[#This Row],[marital_Together]]=1),1,0)</f>
        <v>0</v>
      </c>
      <c r="AN734" t="str">
        <f>IF(Table1[[#This Row],[Income]]&gt;=70000,"HIGH INCOME","LOW INCOME")</f>
        <v>LOW INCOME</v>
      </c>
      <c r="AO734" s="1" t="str">
        <f>IF(Table1[[#This Row],[MNT_TOTAL]]&gt;=900,"HIGH VALUE","LOW VALUE")</f>
        <v>HIGH VALUE</v>
      </c>
      <c r="AP7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4" s="1"/>
      <c r="AR734" s="1"/>
    </row>
    <row r="735" spans="1:44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1</v>
      </c>
      <c r="W735">
        <v>51</v>
      </c>
      <c r="X735">
        <v>2645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1713</v>
      </c>
      <c r="AJ735">
        <v>1669</v>
      </c>
      <c r="AK735">
        <v>3</v>
      </c>
      <c r="AL735">
        <f t="shared" si="11"/>
        <v>1757</v>
      </c>
      <c r="AM735">
        <f>IF(OR(Table1[[#This Row],[marital_Married]]=1,Table1[[#This Row],[marital_Together]]=1),1,0)</f>
        <v>1</v>
      </c>
      <c r="AN735" t="str">
        <f>IF(Table1[[#This Row],[Income]]&gt;=70000,"HIGH INCOME","LOW INCOME")</f>
        <v>HIGH INCOME</v>
      </c>
      <c r="AO735" s="1" t="str">
        <f>IF(Table1[[#This Row],[MNT_TOTAL]]&gt;=900,"HIGH VALUE","LOW VALUE")</f>
        <v>HIGH VALUE</v>
      </c>
      <c r="AP7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35" s="1"/>
      <c r="AR735" s="1"/>
    </row>
    <row r="736" spans="1:44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41</v>
      </c>
      <c r="X736">
        <v>2217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1360</v>
      </c>
      <c r="AJ736">
        <v>1280</v>
      </c>
      <c r="AK736">
        <v>0</v>
      </c>
      <c r="AL736">
        <f t="shared" si="11"/>
        <v>1440</v>
      </c>
      <c r="AM736">
        <f>IF(OR(Table1[[#This Row],[marital_Married]]=1,Table1[[#This Row],[marital_Together]]=1),1,0)</f>
        <v>1</v>
      </c>
      <c r="AN736" t="str">
        <f>IF(Table1[[#This Row],[Income]]&gt;=70000,"HIGH INCOME","LOW INCOME")</f>
        <v>HIGH INCOME</v>
      </c>
      <c r="AO736" s="1" t="str">
        <f>IF(Table1[[#This Row],[MNT_TOTAL]]&gt;=900,"HIGH VALUE","LOW VALUE")</f>
        <v>HIGH VALUE</v>
      </c>
      <c r="AP7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36" s="1"/>
      <c r="AR736" s="1"/>
    </row>
    <row r="737" spans="1:44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42</v>
      </c>
      <c r="X737">
        <v>2664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917</v>
      </c>
      <c r="AJ737">
        <v>828</v>
      </c>
      <c r="AK737">
        <v>0</v>
      </c>
      <c r="AL737">
        <f t="shared" si="11"/>
        <v>1006</v>
      </c>
      <c r="AM737">
        <f>IF(OR(Table1[[#This Row],[marital_Married]]=1,Table1[[#This Row],[marital_Together]]=1),1,0)</f>
        <v>1</v>
      </c>
      <c r="AN737" t="str">
        <f>IF(Table1[[#This Row],[Income]]&gt;=70000,"HIGH INCOME","LOW INCOME")</f>
        <v>LOW INCOME</v>
      </c>
      <c r="AO737" s="1" t="str">
        <f>IF(Table1[[#This Row],[MNT_TOTAL]]&gt;=900,"HIGH VALUE","LOW VALUE")</f>
        <v>HIGH VALUE</v>
      </c>
      <c r="AP7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7" s="1"/>
      <c r="AR737" s="1"/>
    </row>
    <row r="738" spans="1:44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48</v>
      </c>
      <c r="X738">
        <v>2846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1214</v>
      </c>
      <c r="AJ738">
        <v>1202</v>
      </c>
      <c r="AK738">
        <v>0</v>
      </c>
      <c r="AL738">
        <f t="shared" si="11"/>
        <v>1226</v>
      </c>
      <c r="AM738">
        <f>IF(OR(Table1[[#This Row],[marital_Married]]=1,Table1[[#This Row],[marital_Together]]=1),1,0)</f>
        <v>1</v>
      </c>
      <c r="AN738" t="str">
        <f>IF(Table1[[#This Row],[Income]]&gt;=70000,"HIGH INCOME","LOW INCOME")</f>
        <v>LOW INCOME</v>
      </c>
      <c r="AO738" s="1" t="str">
        <f>IF(Table1[[#This Row],[MNT_TOTAL]]&gt;=900,"HIGH VALUE","LOW VALUE")</f>
        <v>HIGH VALUE</v>
      </c>
      <c r="AP7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8" s="1"/>
      <c r="AR738" s="1"/>
    </row>
    <row r="739" spans="1:44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56</v>
      </c>
      <c r="X739">
        <v>2442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1019</v>
      </c>
      <c r="AJ739">
        <v>867</v>
      </c>
      <c r="AK739">
        <v>0</v>
      </c>
      <c r="AL739">
        <f t="shared" si="11"/>
        <v>1171</v>
      </c>
      <c r="AM739">
        <f>IF(OR(Table1[[#This Row],[marital_Married]]=1,Table1[[#This Row],[marital_Together]]=1),1,0)</f>
        <v>1</v>
      </c>
      <c r="AN739" t="str">
        <f>IF(Table1[[#This Row],[Income]]&gt;=70000,"HIGH INCOME","LOW INCOME")</f>
        <v>LOW INCOME</v>
      </c>
      <c r="AO739" s="1" t="str">
        <f>IF(Table1[[#This Row],[MNT_TOTAL]]&gt;=900,"HIGH VALUE","LOW VALUE")</f>
        <v>HIGH VALUE</v>
      </c>
      <c r="AP7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39" s="1"/>
      <c r="AR739" s="1"/>
    </row>
    <row r="740" spans="1:44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41</v>
      </c>
      <c r="X740">
        <v>2630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69</v>
      </c>
      <c r="AJ740">
        <v>46</v>
      </c>
      <c r="AK740">
        <v>0</v>
      </c>
      <c r="AL740">
        <f t="shared" si="11"/>
        <v>92</v>
      </c>
      <c r="AM740">
        <f>IF(OR(Table1[[#This Row],[marital_Married]]=1,Table1[[#This Row],[marital_Together]]=1),1,0)</f>
        <v>1</v>
      </c>
      <c r="AN740" t="str">
        <f>IF(Table1[[#This Row],[Income]]&gt;=70000,"HIGH INCOME","LOW INCOME")</f>
        <v>LOW INCOME</v>
      </c>
      <c r="AO740" s="1" t="str">
        <f>IF(Table1[[#This Row],[MNT_TOTAL]]&gt;=900,"HIGH VALUE","LOW VALUE")</f>
        <v>LOW VALUE</v>
      </c>
      <c r="AP7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40" s="1"/>
      <c r="AR740" s="1"/>
    </row>
    <row r="741" spans="1:44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61</v>
      </c>
      <c r="X741">
        <v>2243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83</v>
      </c>
      <c r="AJ741">
        <v>67</v>
      </c>
      <c r="AK741">
        <v>0</v>
      </c>
      <c r="AL741">
        <f t="shared" si="11"/>
        <v>99</v>
      </c>
      <c r="AM741">
        <f>IF(OR(Table1[[#This Row],[marital_Married]]=1,Table1[[#This Row],[marital_Together]]=1),1,0)</f>
        <v>1</v>
      </c>
      <c r="AN741" t="str">
        <f>IF(Table1[[#This Row],[Income]]&gt;=70000,"HIGH INCOME","LOW INCOME")</f>
        <v>LOW INCOME</v>
      </c>
      <c r="AO741" s="1" t="str">
        <f>IF(Table1[[#This Row],[MNT_TOTAL]]&gt;=900,"HIGH VALUE","LOW VALUE")</f>
        <v>LOW VALUE</v>
      </c>
      <c r="AP7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41" s="1"/>
      <c r="AR741" s="1"/>
    </row>
    <row r="742" spans="1:44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39</v>
      </c>
      <c r="X742">
        <v>2428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55</v>
      </c>
      <c r="AJ742">
        <v>44</v>
      </c>
      <c r="AK742">
        <v>0</v>
      </c>
      <c r="AL742">
        <f t="shared" si="11"/>
        <v>66</v>
      </c>
      <c r="AM742">
        <f>IF(OR(Table1[[#This Row],[marital_Married]]=1,Table1[[#This Row],[marital_Together]]=1),1,0)</f>
        <v>1</v>
      </c>
      <c r="AN742" t="str">
        <f>IF(Table1[[#This Row],[Income]]&gt;=70000,"HIGH INCOME","LOW INCOME")</f>
        <v>LOW INCOME</v>
      </c>
      <c r="AO742" s="1" t="str">
        <f>IF(Table1[[#This Row],[MNT_TOTAL]]&gt;=900,"HIGH VALUE","LOW VALUE")</f>
        <v>LOW VALUE</v>
      </c>
      <c r="AP7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42" s="1"/>
      <c r="AR742" s="1"/>
    </row>
    <row r="743" spans="1:44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53</v>
      </c>
      <c r="X743">
        <v>2225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548</v>
      </c>
      <c r="AJ743">
        <v>532</v>
      </c>
      <c r="AK743">
        <v>0</v>
      </c>
      <c r="AL743">
        <f t="shared" si="11"/>
        <v>564</v>
      </c>
      <c r="AM743">
        <f>IF(OR(Table1[[#This Row],[marital_Married]]=1,Table1[[#This Row],[marital_Together]]=1),1,0)</f>
        <v>0</v>
      </c>
      <c r="AN743" t="str">
        <f>IF(Table1[[#This Row],[Income]]&gt;=70000,"HIGH INCOME","LOW INCOME")</f>
        <v>HIGH INCOME</v>
      </c>
      <c r="AO743" s="1" t="str">
        <f>IF(Table1[[#This Row],[MNT_TOTAL]]&gt;=900,"HIGH VALUE","LOW VALUE")</f>
        <v>LOW VALUE</v>
      </c>
      <c r="AP7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43" s="1"/>
      <c r="AR743" s="1"/>
    </row>
    <row r="744" spans="1:44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32</v>
      </c>
      <c r="X744">
        <v>2403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1387</v>
      </c>
      <c r="AJ744">
        <v>1347</v>
      </c>
      <c r="AK744">
        <v>0</v>
      </c>
      <c r="AL744">
        <f t="shared" si="11"/>
        <v>1427</v>
      </c>
      <c r="AM744">
        <f>IF(OR(Table1[[#This Row],[marital_Married]]=1,Table1[[#This Row],[marital_Together]]=1),1,0)</f>
        <v>1</v>
      </c>
      <c r="AN744" t="str">
        <f>IF(Table1[[#This Row],[Income]]&gt;=70000,"HIGH INCOME","LOW INCOME")</f>
        <v>HIGH INCOME</v>
      </c>
      <c r="AO744" s="1" t="str">
        <f>IF(Table1[[#This Row],[MNT_TOTAL]]&gt;=900,"HIGH VALUE","LOW VALUE")</f>
        <v>HIGH VALUE</v>
      </c>
      <c r="AP7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44" s="1"/>
      <c r="AR744" s="1"/>
    </row>
    <row r="745" spans="1:44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42</v>
      </c>
      <c r="X745">
        <v>2574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52</v>
      </c>
      <c r="AJ745">
        <v>18</v>
      </c>
      <c r="AK745">
        <v>1</v>
      </c>
      <c r="AL745">
        <f t="shared" si="11"/>
        <v>86</v>
      </c>
      <c r="AM745">
        <f>IF(OR(Table1[[#This Row],[marital_Married]]=1,Table1[[#This Row],[marital_Together]]=1),1,0)</f>
        <v>0</v>
      </c>
      <c r="AN745" t="str">
        <f>IF(Table1[[#This Row],[Income]]&gt;=70000,"HIGH INCOME","LOW INCOME")</f>
        <v>LOW INCOME</v>
      </c>
      <c r="AO745" s="1" t="str">
        <f>IF(Table1[[#This Row],[MNT_TOTAL]]&gt;=900,"HIGH VALUE","LOW VALUE")</f>
        <v>LOW VALUE</v>
      </c>
      <c r="AP7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45" s="1"/>
      <c r="AR745" s="1"/>
    </row>
    <row r="746" spans="1:44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68</v>
      </c>
      <c r="X746">
        <v>2197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606</v>
      </c>
      <c r="AJ746">
        <v>379</v>
      </c>
      <c r="AK746">
        <v>0</v>
      </c>
      <c r="AL746">
        <f t="shared" si="11"/>
        <v>833</v>
      </c>
      <c r="AM746">
        <f>IF(OR(Table1[[#This Row],[marital_Married]]=1,Table1[[#This Row],[marital_Together]]=1),1,0)</f>
        <v>0</v>
      </c>
      <c r="AN746" t="str">
        <f>IF(Table1[[#This Row],[Income]]&gt;=70000,"HIGH INCOME","LOW INCOME")</f>
        <v>HIGH INCOME</v>
      </c>
      <c r="AO746" s="1" t="str">
        <f>IF(Table1[[#This Row],[MNT_TOTAL]]&gt;=900,"HIGH VALUE","LOW VALUE")</f>
        <v>LOW VALUE</v>
      </c>
      <c r="AP7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46" s="1"/>
      <c r="AR746" s="1"/>
    </row>
    <row r="747" spans="1:44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65</v>
      </c>
      <c r="X747">
        <v>2587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183</v>
      </c>
      <c r="AJ747">
        <v>124</v>
      </c>
      <c r="AK747">
        <v>0</v>
      </c>
      <c r="AL747">
        <f t="shared" si="11"/>
        <v>242</v>
      </c>
      <c r="AM747">
        <f>IF(OR(Table1[[#This Row],[marital_Married]]=1,Table1[[#This Row],[marital_Together]]=1),1,0)</f>
        <v>1</v>
      </c>
      <c r="AN747" t="str">
        <f>IF(Table1[[#This Row],[Income]]&gt;=70000,"HIGH INCOME","LOW INCOME")</f>
        <v>LOW INCOME</v>
      </c>
      <c r="AO747" s="1" t="str">
        <f>IF(Table1[[#This Row],[MNT_TOTAL]]&gt;=900,"HIGH VALUE","LOW VALUE")</f>
        <v>LOW VALUE</v>
      </c>
      <c r="AP7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47" s="1"/>
      <c r="AR747" s="1"/>
    </row>
    <row r="748" spans="1:44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43</v>
      </c>
      <c r="X748">
        <v>2815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1783</v>
      </c>
      <c r="AJ748">
        <v>1697</v>
      </c>
      <c r="AK748">
        <v>0</v>
      </c>
      <c r="AL748">
        <f t="shared" si="11"/>
        <v>1869</v>
      </c>
      <c r="AM748">
        <f>IF(OR(Table1[[#This Row],[marital_Married]]=1,Table1[[#This Row],[marital_Together]]=1),1,0)</f>
        <v>1</v>
      </c>
      <c r="AN748" t="str">
        <f>IF(Table1[[#This Row],[Income]]&gt;=70000,"HIGH INCOME","LOW INCOME")</f>
        <v>HIGH INCOME</v>
      </c>
      <c r="AO748" s="1" t="str">
        <f>IF(Table1[[#This Row],[MNT_TOTAL]]&gt;=900,"HIGH VALUE","LOW VALUE")</f>
        <v>HIGH VALUE</v>
      </c>
      <c r="AP7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48" s="1"/>
      <c r="AR748" s="1"/>
    </row>
    <row r="749" spans="1:44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33</v>
      </c>
      <c r="X749">
        <v>2821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1243</v>
      </c>
      <c r="AJ749">
        <v>1122</v>
      </c>
      <c r="AK749">
        <v>0</v>
      </c>
      <c r="AL749">
        <f t="shared" si="11"/>
        <v>1364</v>
      </c>
      <c r="AM749">
        <f>IF(OR(Table1[[#This Row],[marital_Married]]=1,Table1[[#This Row],[marital_Together]]=1),1,0)</f>
        <v>1</v>
      </c>
      <c r="AN749" t="str">
        <f>IF(Table1[[#This Row],[Income]]&gt;=70000,"HIGH INCOME","LOW INCOME")</f>
        <v>LOW INCOME</v>
      </c>
      <c r="AO749" s="1" t="str">
        <f>IF(Table1[[#This Row],[MNT_TOTAL]]&gt;=900,"HIGH VALUE","LOW VALUE")</f>
        <v>HIGH VALUE</v>
      </c>
      <c r="AP7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49" s="1"/>
      <c r="AR749" s="1"/>
    </row>
    <row r="750" spans="1:44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55</v>
      </c>
      <c r="X750">
        <v>2460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122</v>
      </c>
      <c r="AJ750">
        <v>61</v>
      </c>
      <c r="AK750">
        <v>0</v>
      </c>
      <c r="AL750">
        <f t="shared" si="11"/>
        <v>183</v>
      </c>
      <c r="AM750">
        <f>IF(OR(Table1[[#This Row],[marital_Married]]=1,Table1[[#This Row],[marital_Together]]=1),1,0)</f>
        <v>1</v>
      </c>
      <c r="AN750" t="str">
        <f>IF(Table1[[#This Row],[Income]]&gt;=70000,"HIGH INCOME","LOW INCOME")</f>
        <v>LOW INCOME</v>
      </c>
      <c r="AO750" s="1" t="str">
        <f>IF(Table1[[#This Row],[MNT_TOTAL]]&gt;=900,"HIGH VALUE","LOW VALUE")</f>
        <v>LOW VALUE</v>
      </c>
      <c r="AP7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0" s="1"/>
      <c r="AR750" s="1"/>
    </row>
    <row r="751" spans="1:44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64</v>
      </c>
      <c r="X751">
        <v>2558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392</v>
      </c>
      <c r="AJ751">
        <v>334</v>
      </c>
      <c r="AK751">
        <v>0</v>
      </c>
      <c r="AL751">
        <f t="shared" si="11"/>
        <v>450</v>
      </c>
      <c r="AM751">
        <f>IF(OR(Table1[[#This Row],[marital_Married]]=1,Table1[[#This Row],[marital_Together]]=1),1,0)</f>
        <v>1</v>
      </c>
      <c r="AN751" t="str">
        <f>IF(Table1[[#This Row],[Income]]&gt;=70000,"HIGH INCOME","LOW INCOME")</f>
        <v>LOW INCOME</v>
      </c>
      <c r="AO751" s="1" t="str">
        <f>IF(Table1[[#This Row],[MNT_TOTAL]]&gt;=900,"HIGH VALUE","LOW VALUE")</f>
        <v>LOW VALUE</v>
      </c>
      <c r="AP7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1" s="1"/>
      <c r="AR751" s="1"/>
    </row>
    <row r="752" spans="1:44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41</v>
      </c>
      <c r="X752">
        <v>2520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668</v>
      </c>
      <c r="AJ752">
        <v>578</v>
      </c>
      <c r="AK752">
        <v>0</v>
      </c>
      <c r="AL752">
        <f t="shared" si="11"/>
        <v>758</v>
      </c>
      <c r="AM752">
        <f>IF(OR(Table1[[#This Row],[marital_Married]]=1,Table1[[#This Row],[marital_Together]]=1),1,0)</f>
        <v>1</v>
      </c>
      <c r="AN752" t="str">
        <f>IF(Table1[[#This Row],[Income]]&gt;=70000,"HIGH INCOME","LOW INCOME")</f>
        <v>HIGH INCOME</v>
      </c>
      <c r="AO752" s="1" t="str">
        <f>IF(Table1[[#This Row],[MNT_TOTAL]]&gt;=900,"HIGH VALUE","LOW VALUE")</f>
        <v>LOW VALUE</v>
      </c>
      <c r="AP7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52" s="1"/>
      <c r="AR752" s="1"/>
    </row>
    <row r="753" spans="1:44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69</v>
      </c>
      <c r="X753">
        <v>2358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1302</v>
      </c>
      <c r="AJ753">
        <v>1097</v>
      </c>
      <c r="AK753">
        <v>0</v>
      </c>
      <c r="AL753">
        <f t="shared" si="11"/>
        <v>1507</v>
      </c>
      <c r="AM753">
        <f>IF(OR(Table1[[#This Row],[marital_Married]]=1,Table1[[#This Row],[marital_Together]]=1),1,0)</f>
        <v>1</v>
      </c>
      <c r="AN753" t="str">
        <f>IF(Table1[[#This Row],[Income]]&gt;=70000,"HIGH INCOME","LOW INCOME")</f>
        <v>HIGH INCOME</v>
      </c>
      <c r="AO753" s="1" t="str">
        <f>IF(Table1[[#This Row],[MNT_TOTAL]]&gt;=900,"HIGH VALUE","LOW VALUE")</f>
        <v>HIGH VALUE</v>
      </c>
      <c r="AP7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53" s="1"/>
      <c r="AR753" s="1"/>
    </row>
    <row r="754" spans="1:44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55</v>
      </c>
      <c r="X754">
        <v>2590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542</v>
      </c>
      <c r="AJ754">
        <v>430</v>
      </c>
      <c r="AK754">
        <v>0</v>
      </c>
      <c r="AL754">
        <f t="shared" si="11"/>
        <v>654</v>
      </c>
      <c r="AM754">
        <f>IF(OR(Table1[[#This Row],[marital_Married]]=1,Table1[[#This Row],[marital_Together]]=1),1,0)</f>
        <v>0</v>
      </c>
      <c r="AN754" t="str">
        <f>IF(Table1[[#This Row],[Income]]&gt;=70000,"HIGH INCOME","LOW INCOME")</f>
        <v>LOW INCOME</v>
      </c>
      <c r="AO754" s="1" t="str">
        <f>IF(Table1[[#This Row],[MNT_TOTAL]]&gt;=900,"HIGH VALUE","LOW VALUE")</f>
        <v>LOW VALUE</v>
      </c>
      <c r="AP7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54" s="1"/>
      <c r="AR754" s="1"/>
    </row>
    <row r="755" spans="1:44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48</v>
      </c>
      <c r="X755">
        <v>2601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69</v>
      </c>
      <c r="AJ755">
        <v>57</v>
      </c>
      <c r="AK755">
        <v>0</v>
      </c>
      <c r="AL755">
        <f t="shared" si="11"/>
        <v>81</v>
      </c>
      <c r="AM755">
        <f>IF(OR(Table1[[#This Row],[marital_Married]]=1,Table1[[#This Row],[marital_Together]]=1),1,0)</f>
        <v>1</v>
      </c>
      <c r="AN755" t="str">
        <f>IF(Table1[[#This Row],[Income]]&gt;=70000,"HIGH INCOME","LOW INCOME")</f>
        <v>LOW INCOME</v>
      </c>
      <c r="AO755" s="1" t="str">
        <f>IF(Table1[[#This Row],[MNT_TOTAL]]&gt;=900,"HIGH VALUE","LOW VALUE")</f>
        <v>LOW VALUE</v>
      </c>
      <c r="AP7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5" s="1"/>
      <c r="AR755" s="1"/>
    </row>
    <row r="756" spans="1:44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63</v>
      </c>
      <c r="X756">
        <v>2727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125</v>
      </c>
      <c r="AJ756">
        <v>113</v>
      </c>
      <c r="AK756">
        <v>0</v>
      </c>
      <c r="AL756">
        <f t="shared" si="11"/>
        <v>137</v>
      </c>
      <c r="AM756">
        <f>IF(OR(Table1[[#This Row],[marital_Married]]=1,Table1[[#This Row],[marital_Together]]=1),1,0)</f>
        <v>1</v>
      </c>
      <c r="AN756" t="str">
        <f>IF(Table1[[#This Row],[Income]]&gt;=70000,"HIGH INCOME","LOW INCOME")</f>
        <v>LOW INCOME</v>
      </c>
      <c r="AO756" s="1" t="str">
        <f>IF(Table1[[#This Row],[MNT_TOTAL]]&gt;=900,"HIGH VALUE","LOW VALUE")</f>
        <v>LOW VALUE</v>
      </c>
      <c r="AP7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6" s="1"/>
      <c r="AR756" s="1"/>
    </row>
    <row r="757" spans="1:44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67</v>
      </c>
      <c r="X757">
        <v>2639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16</v>
      </c>
      <c r="AJ757">
        <v>16</v>
      </c>
      <c r="AK757">
        <v>0</v>
      </c>
      <c r="AL757">
        <f t="shared" si="11"/>
        <v>16</v>
      </c>
      <c r="AM757">
        <f>IF(OR(Table1[[#This Row],[marital_Married]]=1,Table1[[#This Row],[marital_Together]]=1),1,0)</f>
        <v>1</v>
      </c>
      <c r="AN757" t="str">
        <f>IF(Table1[[#This Row],[Income]]&gt;=70000,"HIGH INCOME","LOW INCOME")</f>
        <v>LOW INCOME</v>
      </c>
      <c r="AO757" s="1" t="str">
        <f>IF(Table1[[#This Row],[MNT_TOTAL]]&gt;=900,"HIGH VALUE","LOW VALUE")</f>
        <v>LOW VALUE</v>
      </c>
      <c r="AP7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57" s="1"/>
      <c r="AR757" s="1"/>
    </row>
    <row r="758" spans="1:44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55</v>
      </c>
      <c r="X758">
        <v>2462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87</v>
      </c>
      <c r="AJ758">
        <v>81</v>
      </c>
      <c r="AK758">
        <v>0</v>
      </c>
      <c r="AL758">
        <f t="shared" si="11"/>
        <v>93</v>
      </c>
      <c r="AM758">
        <f>IF(OR(Table1[[#This Row],[marital_Married]]=1,Table1[[#This Row],[marital_Together]]=1),1,0)</f>
        <v>0</v>
      </c>
      <c r="AN758" t="str">
        <f>IF(Table1[[#This Row],[Income]]&gt;=70000,"HIGH INCOME","LOW INCOME")</f>
        <v>LOW INCOME</v>
      </c>
      <c r="AO758" s="1" t="str">
        <f>IF(Table1[[#This Row],[MNT_TOTAL]]&gt;=900,"HIGH VALUE","LOW VALUE")</f>
        <v>LOW VALUE</v>
      </c>
      <c r="AP7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58" s="1"/>
      <c r="AR758" s="1"/>
    </row>
    <row r="759" spans="1:44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62</v>
      </c>
      <c r="X759">
        <v>2313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1158</v>
      </c>
      <c r="AJ759">
        <v>1158</v>
      </c>
      <c r="AK759">
        <v>0</v>
      </c>
      <c r="AL759">
        <f t="shared" si="11"/>
        <v>1158</v>
      </c>
      <c r="AM759">
        <f>IF(OR(Table1[[#This Row],[marital_Married]]=1,Table1[[#This Row],[marital_Together]]=1),1,0)</f>
        <v>1</v>
      </c>
      <c r="AN759" t="str">
        <f>IF(Table1[[#This Row],[Income]]&gt;=70000,"HIGH INCOME","LOW INCOME")</f>
        <v>HIGH INCOME</v>
      </c>
      <c r="AO759" s="1" t="str">
        <f>IF(Table1[[#This Row],[MNT_TOTAL]]&gt;=900,"HIGH VALUE","LOW VALUE")</f>
        <v>HIGH VALUE</v>
      </c>
      <c r="AP7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59" s="1"/>
      <c r="AR759" s="1"/>
    </row>
    <row r="760" spans="1:44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65</v>
      </c>
      <c r="X760">
        <v>2352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39</v>
      </c>
      <c r="AJ760">
        <v>35</v>
      </c>
      <c r="AK760">
        <v>0</v>
      </c>
      <c r="AL760">
        <f t="shared" si="11"/>
        <v>43</v>
      </c>
      <c r="AM760">
        <f>IF(OR(Table1[[#This Row],[marital_Married]]=1,Table1[[#This Row],[marital_Together]]=1),1,0)</f>
        <v>0</v>
      </c>
      <c r="AN760" t="str">
        <f>IF(Table1[[#This Row],[Income]]&gt;=70000,"HIGH INCOME","LOW INCOME")</f>
        <v>LOW INCOME</v>
      </c>
      <c r="AO760" s="1" t="str">
        <f>IF(Table1[[#This Row],[MNT_TOTAL]]&gt;=900,"HIGH VALUE","LOW VALUE")</f>
        <v>LOW VALUE</v>
      </c>
      <c r="AP7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60" s="1"/>
      <c r="AR760" s="1"/>
    </row>
    <row r="761" spans="1:44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49</v>
      </c>
      <c r="X761">
        <v>2449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1391</v>
      </c>
      <c r="AJ761">
        <v>1257</v>
      </c>
      <c r="AK761">
        <v>0</v>
      </c>
      <c r="AL761">
        <f t="shared" si="11"/>
        <v>1525</v>
      </c>
      <c r="AM761">
        <f>IF(OR(Table1[[#This Row],[marital_Married]]=1,Table1[[#This Row],[marital_Together]]=1),1,0)</f>
        <v>0</v>
      </c>
      <c r="AN761" t="str">
        <f>IF(Table1[[#This Row],[Income]]&gt;=70000,"HIGH INCOME","LOW INCOME")</f>
        <v>HIGH INCOME</v>
      </c>
      <c r="AO761" s="1" t="str">
        <f>IF(Table1[[#This Row],[MNT_TOTAL]]&gt;=900,"HIGH VALUE","LOW VALUE")</f>
        <v>HIGH VALUE</v>
      </c>
      <c r="AP7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61" s="1"/>
      <c r="AR761" s="1"/>
    </row>
    <row r="762" spans="1:44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46</v>
      </c>
      <c r="X762">
        <v>2244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1230</v>
      </c>
      <c r="AJ762">
        <v>1230</v>
      </c>
      <c r="AK762">
        <v>0</v>
      </c>
      <c r="AL762">
        <f t="shared" si="11"/>
        <v>1230</v>
      </c>
      <c r="AM762">
        <f>IF(OR(Table1[[#This Row],[marital_Married]]=1,Table1[[#This Row],[marital_Together]]=1),1,0)</f>
        <v>0</v>
      </c>
      <c r="AN762" t="str">
        <f>IF(Table1[[#This Row],[Income]]&gt;=70000,"HIGH INCOME","LOW INCOME")</f>
        <v>HIGH INCOME</v>
      </c>
      <c r="AO762" s="1" t="str">
        <f>IF(Table1[[#This Row],[MNT_TOTAL]]&gt;=900,"HIGH VALUE","LOW VALUE")</f>
        <v>HIGH VALUE</v>
      </c>
      <c r="AP7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62" s="1"/>
      <c r="AR762" s="1"/>
    </row>
    <row r="763" spans="1:44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44</v>
      </c>
      <c r="X763">
        <v>2235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24</v>
      </c>
      <c r="AJ763">
        <v>19</v>
      </c>
      <c r="AK763">
        <v>0</v>
      </c>
      <c r="AL763">
        <f t="shared" si="11"/>
        <v>29</v>
      </c>
      <c r="AM763">
        <f>IF(OR(Table1[[#This Row],[marital_Married]]=1,Table1[[#This Row],[marital_Together]]=1),1,0)</f>
        <v>1</v>
      </c>
      <c r="AN763" t="str">
        <f>IF(Table1[[#This Row],[Income]]&gt;=70000,"HIGH INCOME","LOW INCOME")</f>
        <v>LOW INCOME</v>
      </c>
      <c r="AO763" s="1" t="str">
        <f>IF(Table1[[#This Row],[MNT_TOTAL]]&gt;=900,"HIGH VALUE","LOW VALUE")</f>
        <v>LOW VALUE</v>
      </c>
      <c r="AP7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63" s="1"/>
      <c r="AR763" s="1"/>
    </row>
    <row r="764" spans="1:44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50</v>
      </c>
      <c r="X764">
        <v>2208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16</v>
      </c>
      <c r="AJ764">
        <v>7</v>
      </c>
      <c r="AK764">
        <v>0</v>
      </c>
      <c r="AL764">
        <f t="shared" si="11"/>
        <v>25</v>
      </c>
      <c r="AM764">
        <f>IF(OR(Table1[[#This Row],[marital_Married]]=1,Table1[[#This Row],[marital_Together]]=1),1,0)</f>
        <v>0</v>
      </c>
      <c r="AN764" t="str">
        <f>IF(Table1[[#This Row],[Income]]&gt;=70000,"HIGH INCOME","LOW INCOME")</f>
        <v>LOW INCOME</v>
      </c>
      <c r="AO764" s="1" t="str">
        <f>IF(Table1[[#This Row],[MNT_TOTAL]]&gt;=900,"HIGH VALUE","LOW VALUE")</f>
        <v>LOW VALUE</v>
      </c>
      <c r="AP7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64" s="1"/>
      <c r="AR764" s="1"/>
    </row>
    <row r="765" spans="1:44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48</v>
      </c>
      <c r="X765">
        <v>2261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19</v>
      </c>
      <c r="AJ765">
        <v>14</v>
      </c>
      <c r="AK765">
        <v>0</v>
      </c>
      <c r="AL765">
        <f t="shared" si="11"/>
        <v>24</v>
      </c>
      <c r="AM765">
        <f>IF(OR(Table1[[#This Row],[marital_Married]]=1,Table1[[#This Row],[marital_Together]]=1),1,0)</f>
        <v>1</v>
      </c>
      <c r="AN765" t="str">
        <f>IF(Table1[[#This Row],[Income]]&gt;=70000,"HIGH INCOME","LOW INCOME")</f>
        <v>LOW INCOME</v>
      </c>
      <c r="AO765" s="1" t="str">
        <f>IF(Table1[[#This Row],[MNT_TOTAL]]&gt;=900,"HIGH VALUE","LOW VALUE")</f>
        <v>LOW VALUE</v>
      </c>
      <c r="AP7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65" s="1"/>
      <c r="AR765" s="1"/>
    </row>
    <row r="766" spans="1:44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48</v>
      </c>
      <c r="X766">
        <v>2535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35</v>
      </c>
      <c r="AJ766">
        <v>32</v>
      </c>
      <c r="AK766">
        <v>0</v>
      </c>
      <c r="AL766">
        <f t="shared" si="11"/>
        <v>38</v>
      </c>
      <c r="AM766">
        <f>IF(OR(Table1[[#This Row],[marital_Married]]=1,Table1[[#This Row],[marital_Together]]=1),1,0)</f>
        <v>1</v>
      </c>
      <c r="AN766" t="str">
        <f>IF(Table1[[#This Row],[Income]]&gt;=70000,"HIGH INCOME","LOW INCOME")</f>
        <v>LOW INCOME</v>
      </c>
      <c r="AO766" s="1" t="str">
        <f>IF(Table1[[#This Row],[MNT_TOTAL]]&gt;=900,"HIGH VALUE","LOW VALUE")</f>
        <v>LOW VALUE</v>
      </c>
      <c r="AP7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66" s="1"/>
      <c r="AR766" s="1"/>
    </row>
    <row r="767" spans="1:44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34</v>
      </c>
      <c r="X767">
        <v>2767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40</v>
      </c>
      <c r="AJ767">
        <v>23</v>
      </c>
      <c r="AK767">
        <v>0</v>
      </c>
      <c r="AL767">
        <f t="shared" si="11"/>
        <v>57</v>
      </c>
      <c r="AM767">
        <f>IF(OR(Table1[[#This Row],[marital_Married]]=1,Table1[[#This Row],[marital_Together]]=1),1,0)</f>
        <v>1</v>
      </c>
      <c r="AN767" t="str">
        <f>IF(Table1[[#This Row],[Income]]&gt;=70000,"HIGH INCOME","LOW INCOME")</f>
        <v>LOW INCOME</v>
      </c>
      <c r="AO767" s="1" t="str">
        <f>IF(Table1[[#This Row],[MNT_TOTAL]]&gt;=900,"HIGH VALUE","LOW VALUE")</f>
        <v>LOW VALUE</v>
      </c>
      <c r="AP7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67" s="1"/>
      <c r="AR767" s="1"/>
    </row>
    <row r="768" spans="1:44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60</v>
      </c>
      <c r="X768">
        <v>2293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41</v>
      </c>
      <c r="AJ768">
        <v>35</v>
      </c>
      <c r="AK768">
        <v>0</v>
      </c>
      <c r="AL768">
        <f t="shared" si="11"/>
        <v>47</v>
      </c>
      <c r="AM768">
        <f>IF(OR(Table1[[#This Row],[marital_Married]]=1,Table1[[#This Row],[marital_Together]]=1),1,0)</f>
        <v>1</v>
      </c>
      <c r="AN768" t="str">
        <f>IF(Table1[[#This Row],[Income]]&gt;=70000,"HIGH INCOME","LOW INCOME")</f>
        <v>LOW INCOME</v>
      </c>
      <c r="AO768" s="1" t="str">
        <f>IF(Table1[[#This Row],[MNT_TOTAL]]&gt;=900,"HIGH VALUE","LOW VALUE")</f>
        <v>LOW VALUE</v>
      </c>
      <c r="AP7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68" s="1"/>
      <c r="AR768" s="1"/>
    </row>
    <row r="769" spans="1:44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52</v>
      </c>
      <c r="X769">
        <v>2702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615</v>
      </c>
      <c r="AJ769">
        <v>417</v>
      </c>
      <c r="AK769">
        <v>1</v>
      </c>
      <c r="AL769">
        <f t="shared" si="11"/>
        <v>813</v>
      </c>
      <c r="AM769">
        <f>IF(OR(Table1[[#This Row],[marital_Married]]=1,Table1[[#This Row],[marital_Together]]=1),1,0)</f>
        <v>0</v>
      </c>
      <c r="AN769" t="str">
        <f>IF(Table1[[#This Row],[Income]]&gt;=70000,"HIGH INCOME","LOW INCOME")</f>
        <v>LOW INCOME</v>
      </c>
      <c r="AO769" s="1" t="str">
        <f>IF(Table1[[#This Row],[MNT_TOTAL]]&gt;=900,"HIGH VALUE","LOW VALUE")</f>
        <v>LOW VALUE</v>
      </c>
      <c r="AP7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69" s="1"/>
      <c r="AR769" s="1"/>
    </row>
    <row r="770" spans="1:44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42</v>
      </c>
      <c r="X770">
        <v>2190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490</v>
      </c>
      <c r="AJ770">
        <v>351</v>
      </c>
      <c r="AK770">
        <v>1</v>
      </c>
      <c r="AL770">
        <f t="shared" ref="AL770:AL833" si="12">SUM(E770:J770)</f>
        <v>629</v>
      </c>
      <c r="AM770">
        <f>IF(OR(Table1[[#This Row],[marital_Married]]=1,Table1[[#This Row],[marital_Together]]=1),1,0)</f>
        <v>1</v>
      </c>
      <c r="AN770" t="str">
        <f>IF(Table1[[#This Row],[Income]]&gt;=70000,"HIGH INCOME","LOW INCOME")</f>
        <v>LOW INCOME</v>
      </c>
      <c r="AO770" s="1" t="str">
        <f>IF(Table1[[#This Row],[MNT_TOTAL]]&gt;=900,"HIGH VALUE","LOW VALUE")</f>
        <v>LOW VALUE</v>
      </c>
      <c r="AP7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70" s="1"/>
      <c r="AR770" s="1"/>
    </row>
    <row r="771" spans="1:44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44</v>
      </c>
      <c r="X771">
        <v>2818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343</v>
      </c>
      <c r="AJ771">
        <v>309</v>
      </c>
      <c r="AK771">
        <v>0</v>
      </c>
      <c r="AL771">
        <f t="shared" si="12"/>
        <v>377</v>
      </c>
      <c r="AM771">
        <f>IF(OR(Table1[[#This Row],[marital_Married]]=1,Table1[[#This Row],[marital_Together]]=1),1,0)</f>
        <v>0</v>
      </c>
      <c r="AN771" t="str">
        <f>IF(Table1[[#This Row],[Income]]&gt;=70000,"HIGH INCOME","LOW INCOME")</f>
        <v>LOW INCOME</v>
      </c>
      <c r="AO771" s="1" t="str">
        <f>IF(Table1[[#This Row],[MNT_TOTAL]]&gt;=900,"HIGH VALUE","LOW VALUE")</f>
        <v>LOW VALUE</v>
      </c>
      <c r="AP7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1" s="1"/>
      <c r="AR771" s="1"/>
    </row>
    <row r="772" spans="1:44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75</v>
      </c>
      <c r="X772">
        <v>2689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1551</v>
      </c>
      <c r="AJ772">
        <v>1490</v>
      </c>
      <c r="AK772">
        <v>0</v>
      </c>
      <c r="AL772">
        <f t="shared" si="12"/>
        <v>1612</v>
      </c>
      <c r="AM772">
        <f>IF(OR(Table1[[#This Row],[marital_Married]]=1,Table1[[#This Row],[marital_Together]]=1),1,0)</f>
        <v>1</v>
      </c>
      <c r="AN772" t="str">
        <f>IF(Table1[[#This Row],[Income]]&gt;=70000,"HIGH INCOME","LOW INCOME")</f>
        <v>LOW INCOME</v>
      </c>
      <c r="AO772" s="1" t="str">
        <f>IF(Table1[[#This Row],[MNT_TOTAL]]&gt;=900,"HIGH VALUE","LOW VALUE")</f>
        <v>HIGH VALUE</v>
      </c>
      <c r="AP7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2" s="1"/>
      <c r="AR772" s="1"/>
    </row>
    <row r="773" spans="1:44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63</v>
      </c>
      <c r="X773">
        <v>2758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706</v>
      </c>
      <c r="AJ773">
        <v>683</v>
      </c>
      <c r="AK773">
        <v>3</v>
      </c>
      <c r="AL773">
        <f t="shared" si="12"/>
        <v>729</v>
      </c>
      <c r="AM773">
        <f>IF(OR(Table1[[#This Row],[marital_Married]]=1,Table1[[#This Row],[marital_Together]]=1),1,0)</f>
        <v>1</v>
      </c>
      <c r="AN773" t="str">
        <f>IF(Table1[[#This Row],[Income]]&gt;=70000,"HIGH INCOME","LOW INCOME")</f>
        <v>HIGH INCOME</v>
      </c>
      <c r="AO773" s="1" t="str">
        <f>IF(Table1[[#This Row],[MNT_TOTAL]]&gt;=900,"HIGH VALUE","LOW VALUE")</f>
        <v>LOW VALUE</v>
      </c>
      <c r="AP7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3" s="1"/>
      <c r="AR773" s="1"/>
    </row>
    <row r="774" spans="1:44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70</v>
      </c>
      <c r="X774">
        <v>2504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37</v>
      </c>
      <c r="AJ774">
        <v>24</v>
      </c>
      <c r="AK774">
        <v>1</v>
      </c>
      <c r="AL774">
        <f t="shared" si="12"/>
        <v>50</v>
      </c>
      <c r="AM774">
        <f>IF(OR(Table1[[#This Row],[marital_Married]]=1,Table1[[#This Row],[marital_Together]]=1),1,0)</f>
        <v>0</v>
      </c>
      <c r="AN774" t="str">
        <f>IF(Table1[[#This Row],[Income]]&gt;=70000,"HIGH INCOME","LOW INCOME")</f>
        <v>LOW INCOME</v>
      </c>
      <c r="AO774" s="1" t="str">
        <f>IF(Table1[[#This Row],[MNT_TOTAL]]&gt;=900,"HIGH VALUE","LOW VALUE")</f>
        <v>LOW VALUE</v>
      </c>
      <c r="AP7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4" s="1"/>
      <c r="AR774" s="1"/>
    </row>
    <row r="775" spans="1:44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42</v>
      </c>
      <c r="X775">
        <v>2402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258</v>
      </c>
      <c r="AJ775">
        <v>246</v>
      </c>
      <c r="AK775">
        <v>0</v>
      </c>
      <c r="AL775">
        <f t="shared" si="12"/>
        <v>270</v>
      </c>
      <c r="AM775">
        <f>IF(OR(Table1[[#This Row],[marital_Married]]=1,Table1[[#This Row],[marital_Together]]=1),1,0)</f>
        <v>1</v>
      </c>
      <c r="AN775" t="str">
        <f>IF(Table1[[#This Row],[Income]]&gt;=70000,"HIGH INCOME","LOW INCOME")</f>
        <v>LOW INCOME</v>
      </c>
      <c r="AO775" s="1" t="str">
        <f>IF(Table1[[#This Row],[MNT_TOTAL]]&gt;=900,"HIGH VALUE","LOW VALUE")</f>
        <v>LOW VALUE</v>
      </c>
      <c r="AP7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75" s="1"/>
      <c r="AR775" s="1"/>
    </row>
    <row r="776" spans="1:44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59</v>
      </c>
      <c r="X776">
        <v>2609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125</v>
      </c>
      <c r="AJ776">
        <v>73</v>
      </c>
      <c r="AK776">
        <v>0</v>
      </c>
      <c r="AL776">
        <f t="shared" si="12"/>
        <v>177</v>
      </c>
      <c r="AM776">
        <f>IF(OR(Table1[[#This Row],[marital_Married]]=1,Table1[[#This Row],[marital_Together]]=1),1,0)</f>
        <v>0</v>
      </c>
      <c r="AN776" t="str">
        <f>IF(Table1[[#This Row],[Income]]&gt;=70000,"HIGH INCOME","LOW INCOME")</f>
        <v>LOW INCOME</v>
      </c>
      <c r="AO776" s="1" t="str">
        <f>IF(Table1[[#This Row],[MNT_TOTAL]]&gt;=900,"HIGH VALUE","LOW VALUE")</f>
        <v>LOW VALUE</v>
      </c>
      <c r="AP7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6" s="1"/>
      <c r="AR776" s="1"/>
    </row>
    <row r="777" spans="1:44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58</v>
      </c>
      <c r="X777">
        <v>2684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303</v>
      </c>
      <c r="AJ777">
        <v>291</v>
      </c>
      <c r="AK777">
        <v>1</v>
      </c>
      <c r="AL777">
        <f t="shared" si="12"/>
        <v>315</v>
      </c>
      <c r="AM777">
        <f>IF(OR(Table1[[#This Row],[marital_Married]]=1,Table1[[#This Row],[marital_Together]]=1),1,0)</f>
        <v>0</v>
      </c>
      <c r="AN777" t="str">
        <f>IF(Table1[[#This Row],[Income]]&gt;=70000,"HIGH INCOME","LOW INCOME")</f>
        <v>LOW INCOME</v>
      </c>
      <c r="AO777" s="1" t="str">
        <f>IF(Table1[[#This Row],[MNT_TOTAL]]&gt;=900,"HIGH VALUE","LOW VALUE")</f>
        <v>LOW VALUE</v>
      </c>
      <c r="AP7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7" s="1"/>
      <c r="AR777" s="1"/>
    </row>
    <row r="778" spans="1:44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66</v>
      </c>
      <c r="X778">
        <v>2160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732</v>
      </c>
      <c r="AJ778">
        <v>697</v>
      </c>
      <c r="AK778">
        <v>0</v>
      </c>
      <c r="AL778">
        <f t="shared" si="12"/>
        <v>767</v>
      </c>
      <c r="AM778">
        <f>IF(OR(Table1[[#This Row],[marital_Married]]=1,Table1[[#This Row],[marital_Together]]=1),1,0)</f>
        <v>1</v>
      </c>
      <c r="AN778" t="str">
        <f>IF(Table1[[#This Row],[Income]]&gt;=70000,"HIGH INCOME","LOW INCOME")</f>
        <v>HIGH INCOME</v>
      </c>
      <c r="AO778" s="1" t="str">
        <f>IF(Table1[[#This Row],[MNT_TOTAL]]&gt;=900,"HIGH VALUE","LOW VALUE")</f>
        <v>LOW VALUE</v>
      </c>
      <c r="AP7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8" s="1"/>
      <c r="AR778" s="1"/>
    </row>
    <row r="779" spans="1:44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55</v>
      </c>
      <c r="X779">
        <v>2773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894</v>
      </c>
      <c r="AJ779">
        <v>717</v>
      </c>
      <c r="AK779">
        <v>0</v>
      </c>
      <c r="AL779">
        <f t="shared" si="12"/>
        <v>1071</v>
      </c>
      <c r="AM779">
        <f>IF(OR(Table1[[#This Row],[marital_Married]]=1,Table1[[#This Row],[marital_Together]]=1),1,0)</f>
        <v>0</v>
      </c>
      <c r="AN779" t="str">
        <f>IF(Table1[[#This Row],[Income]]&gt;=70000,"HIGH INCOME","LOW INCOME")</f>
        <v>LOW INCOME</v>
      </c>
      <c r="AO779" s="1" t="str">
        <f>IF(Table1[[#This Row],[MNT_TOTAL]]&gt;=900,"HIGH VALUE","LOW VALUE")</f>
        <v>HIGH VALUE</v>
      </c>
      <c r="AP7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79" s="1"/>
      <c r="AR779" s="1"/>
    </row>
    <row r="780" spans="1:44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47</v>
      </c>
      <c r="X780">
        <v>2643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1565</v>
      </c>
      <c r="AJ780">
        <v>1550</v>
      </c>
      <c r="AK780">
        <v>0</v>
      </c>
      <c r="AL780">
        <f t="shared" si="12"/>
        <v>1580</v>
      </c>
      <c r="AM780">
        <f>IF(OR(Table1[[#This Row],[marital_Married]]=1,Table1[[#This Row],[marital_Together]]=1),1,0)</f>
        <v>1</v>
      </c>
      <c r="AN780" t="str">
        <f>IF(Table1[[#This Row],[Income]]&gt;=70000,"HIGH INCOME","LOW INCOME")</f>
        <v>HIGH INCOME</v>
      </c>
      <c r="AO780" s="1" t="str">
        <f>IF(Table1[[#This Row],[MNT_TOTAL]]&gt;=900,"HIGH VALUE","LOW VALUE")</f>
        <v>HIGH VALUE</v>
      </c>
      <c r="AP7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80" s="1"/>
      <c r="AR780" s="1"/>
    </row>
    <row r="781" spans="1:44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52</v>
      </c>
      <c r="X781">
        <v>2356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55</v>
      </c>
      <c r="AJ781">
        <v>50</v>
      </c>
      <c r="AK781">
        <v>0</v>
      </c>
      <c r="AL781">
        <f t="shared" si="12"/>
        <v>60</v>
      </c>
      <c r="AM781">
        <f>IF(OR(Table1[[#This Row],[marital_Married]]=1,Table1[[#This Row],[marital_Together]]=1),1,0)</f>
        <v>1</v>
      </c>
      <c r="AN781" t="str">
        <f>IF(Table1[[#This Row],[Income]]&gt;=70000,"HIGH INCOME","LOW INCOME")</f>
        <v>LOW INCOME</v>
      </c>
      <c r="AO781" s="1" t="str">
        <f>IF(Table1[[#This Row],[MNT_TOTAL]]&gt;=900,"HIGH VALUE","LOW VALUE")</f>
        <v>LOW VALUE</v>
      </c>
      <c r="AP7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1" s="1"/>
      <c r="AR781" s="1"/>
    </row>
    <row r="782" spans="1:44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50</v>
      </c>
      <c r="X782">
        <v>2357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557</v>
      </c>
      <c r="AJ782">
        <v>541</v>
      </c>
      <c r="AK782">
        <v>0</v>
      </c>
      <c r="AL782">
        <f t="shared" si="12"/>
        <v>573</v>
      </c>
      <c r="AM782">
        <f>IF(OR(Table1[[#This Row],[marital_Married]]=1,Table1[[#This Row],[marital_Together]]=1),1,0)</f>
        <v>1</v>
      </c>
      <c r="AN782" t="str">
        <f>IF(Table1[[#This Row],[Income]]&gt;=70000,"HIGH INCOME","LOW INCOME")</f>
        <v>LOW INCOME</v>
      </c>
      <c r="AO782" s="1" t="str">
        <f>IF(Table1[[#This Row],[MNT_TOTAL]]&gt;=900,"HIGH VALUE","LOW VALUE")</f>
        <v>LOW VALUE</v>
      </c>
      <c r="AP7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2" s="1"/>
      <c r="AR782" s="1"/>
    </row>
    <row r="783" spans="1:44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64</v>
      </c>
      <c r="X783">
        <v>2619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33</v>
      </c>
      <c r="AJ783">
        <v>25</v>
      </c>
      <c r="AK783">
        <v>0</v>
      </c>
      <c r="AL783">
        <f t="shared" si="12"/>
        <v>41</v>
      </c>
      <c r="AM783">
        <f>IF(OR(Table1[[#This Row],[marital_Married]]=1,Table1[[#This Row],[marital_Together]]=1),1,0)</f>
        <v>0</v>
      </c>
      <c r="AN783" t="str">
        <f>IF(Table1[[#This Row],[Income]]&gt;=70000,"HIGH INCOME","LOW INCOME")</f>
        <v>LOW INCOME</v>
      </c>
      <c r="AO783" s="1" t="str">
        <f>IF(Table1[[#This Row],[MNT_TOTAL]]&gt;=900,"HIGH VALUE","LOW VALUE")</f>
        <v>LOW VALUE</v>
      </c>
      <c r="AP7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83" s="1"/>
      <c r="AR783" s="1"/>
    </row>
    <row r="784" spans="1:44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69</v>
      </c>
      <c r="X784">
        <v>2685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123</v>
      </c>
      <c r="AJ784">
        <v>76</v>
      </c>
      <c r="AK784">
        <v>0</v>
      </c>
      <c r="AL784">
        <f t="shared" si="12"/>
        <v>170</v>
      </c>
      <c r="AM784">
        <f>IF(OR(Table1[[#This Row],[marital_Married]]=1,Table1[[#This Row],[marital_Together]]=1),1,0)</f>
        <v>1</v>
      </c>
      <c r="AN784" t="str">
        <f>IF(Table1[[#This Row],[Income]]&gt;=70000,"HIGH INCOME","LOW INCOME")</f>
        <v>LOW INCOME</v>
      </c>
      <c r="AO784" s="1" t="str">
        <f>IF(Table1[[#This Row],[MNT_TOTAL]]&gt;=900,"HIGH VALUE","LOW VALUE")</f>
        <v>LOW VALUE</v>
      </c>
      <c r="AP7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4" s="1"/>
      <c r="AR784" s="1"/>
    </row>
    <row r="785" spans="1:44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76</v>
      </c>
      <c r="X785">
        <v>2395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1145</v>
      </c>
      <c r="AJ785">
        <v>1123</v>
      </c>
      <c r="AK785">
        <v>0</v>
      </c>
      <c r="AL785">
        <f t="shared" si="12"/>
        <v>1167</v>
      </c>
      <c r="AM785">
        <f>IF(OR(Table1[[#This Row],[marital_Married]]=1,Table1[[#This Row],[marital_Together]]=1),1,0)</f>
        <v>0</v>
      </c>
      <c r="AN785" t="str">
        <f>IF(Table1[[#This Row],[Income]]&gt;=70000,"HIGH INCOME","LOW INCOME")</f>
        <v>HIGH INCOME</v>
      </c>
      <c r="AO785" s="1" t="str">
        <f>IF(Table1[[#This Row],[MNT_TOTAL]]&gt;=900,"HIGH VALUE","LOW VALUE")</f>
        <v>HIGH VALUE</v>
      </c>
      <c r="AP7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85" s="1"/>
      <c r="AR785" s="1"/>
    </row>
    <row r="786" spans="1:44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1</v>
      </c>
      <c r="W786">
        <v>62</v>
      </c>
      <c r="X786">
        <v>2608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1497</v>
      </c>
      <c r="AJ786">
        <v>1468</v>
      </c>
      <c r="AK786">
        <v>3</v>
      </c>
      <c r="AL786">
        <f t="shared" si="12"/>
        <v>1526</v>
      </c>
      <c r="AM786">
        <f>IF(OR(Table1[[#This Row],[marital_Married]]=1,Table1[[#This Row],[marital_Together]]=1),1,0)</f>
        <v>1</v>
      </c>
      <c r="AN786" t="str">
        <f>IF(Table1[[#This Row],[Income]]&gt;=70000,"HIGH INCOME","LOW INCOME")</f>
        <v>LOW INCOME</v>
      </c>
      <c r="AO786" s="1" t="str">
        <f>IF(Table1[[#This Row],[MNT_TOTAL]]&gt;=900,"HIGH VALUE","LOW VALUE")</f>
        <v>HIGH VALUE</v>
      </c>
      <c r="AP7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86" s="1"/>
      <c r="AR786" s="1"/>
    </row>
    <row r="787" spans="1:44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44</v>
      </c>
      <c r="X787">
        <v>2396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437</v>
      </c>
      <c r="AJ787">
        <v>416</v>
      </c>
      <c r="AK787">
        <v>0</v>
      </c>
      <c r="AL787">
        <f t="shared" si="12"/>
        <v>458</v>
      </c>
      <c r="AM787">
        <f>IF(OR(Table1[[#This Row],[marital_Married]]=1,Table1[[#This Row],[marital_Together]]=1),1,0)</f>
        <v>1</v>
      </c>
      <c r="AN787" t="str">
        <f>IF(Table1[[#This Row],[Income]]&gt;=70000,"HIGH INCOME","LOW INCOME")</f>
        <v>LOW INCOME</v>
      </c>
      <c r="AO787" s="1" t="str">
        <f>IF(Table1[[#This Row],[MNT_TOTAL]]&gt;=900,"HIGH VALUE","LOW VALUE")</f>
        <v>LOW VALUE</v>
      </c>
      <c r="AP7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7" s="1"/>
      <c r="AR787" s="1"/>
    </row>
    <row r="788" spans="1:44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49</v>
      </c>
      <c r="X788">
        <v>2257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63</v>
      </c>
      <c r="AJ788">
        <v>63</v>
      </c>
      <c r="AK788">
        <v>0</v>
      </c>
      <c r="AL788">
        <f t="shared" si="12"/>
        <v>63</v>
      </c>
      <c r="AM788">
        <f>IF(OR(Table1[[#This Row],[marital_Married]]=1,Table1[[#This Row],[marital_Together]]=1),1,0)</f>
        <v>1</v>
      </c>
      <c r="AN788" t="str">
        <f>IF(Table1[[#This Row],[Income]]&gt;=70000,"HIGH INCOME","LOW INCOME")</f>
        <v>LOW INCOME</v>
      </c>
      <c r="AO788" s="1" t="str">
        <f>IF(Table1[[#This Row],[MNT_TOTAL]]&gt;=900,"HIGH VALUE","LOW VALUE")</f>
        <v>LOW VALUE</v>
      </c>
      <c r="AP7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8" s="1"/>
      <c r="AR788" s="1"/>
    </row>
    <row r="789" spans="1:44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63</v>
      </c>
      <c r="X789">
        <v>2410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360</v>
      </c>
      <c r="AJ789">
        <v>315</v>
      </c>
      <c r="AK789">
        <v>0</v>
      </c>
      <c r="AL789">
        <f t="shared" si="12"/>
        <v>405</v>
      </c>
      <c r="AM789">
        <f>IF(OR(Table1[[#This Row],[marital_Married]]=1,Table1[[#This Row],[marital_Together]]=1),1,0)</f>
        <v>1</v>
      </c>
      <c r="AN789" t="str">
        <f>IF(Table1[[#This Row],[Income]]&gt;=70000,"HIGH INCOME","LOW INCOME")</f>
        <v>LOW INCOME</v>
      </c>
      <c r="AO789" s="1" t="str">
        <f>IF(Table1[[#This Row],[MNT_TOTAL]]&gt;=900,"HIGH VALUE","LOW VALUE")</f>
        <v>LOW VALUE</v>
      </c>
      <c r="AP7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89" s="1"/>
      <c r="AR789" s="1"/>
    </row>
    <row r="790" spans="1:44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48</v>
      </c>
      <c r="X790">
        <v>2623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894</v>
      </c>
      <c r="AJ790">
        <v>761</v>
      </c>
      <c r="AK790">
        <v>1</v>
      </c>
      <c r="AL790">
        <f t="shared" si="12"/>
        <v>1027</v>
      </c>
      <c r="AM790">
        <f>IF(OR(Table1[[#This Row],[marital_Married]]=1,Table1[[#This Row],[marital_Together]]=1),1,0)</f>
        <v>1</v>
      </c>
      <c r="AN790" t="str">
        <f>IF(Table1[[#This Row],[Income]]&gt;=70000,"HIGH INCOME","LOW INCOME")</f>
        <v>LOW INCOME</v>
      </c>
      <c r="AO790" s="1" t="str">
        <f>IF(Table1[[#This Row],[MNT_TOTAL]]&gt;=900,"HIGH VALUE","LOW VALUE")</f>
        <v>HIGH VALUE</v>
      </c>
      <c r="AP7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90" s="1"/>
      <c r="AR790" s="1"/>
    </row>
    <row r="791" spans="1:44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48</v>
      </c>
      <c r="X791">
        <v>2608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1384</v>
      </c>
      <c r="AJ791">
        <v>1290</v>
      </c>
      <c r="AK791">
        <v>0</v>
      </c>
      <c r="AL791">
        <f t="shared" si="12"/>
        <v>1478</v>
      </c>
      <c r="AM791">
        <f>IF(OR(Table1[[#This Row],[marital_Married]]=1,Table1[[#This Row],[marital_Together]]=1),1,0)</f>
        <v>0</v>
      </c>
      <c r="AN791" t="str">
        <f>IF(Table1[[#This Row],[Income]]&gt;=70000,"HIGH INCOME","LOW INCOME")</f>
        <v>HIGH INCOME</v>
      </c>
      <c r="AO791" s="1" t="str">
        <f>IF(Table1[[#This Row],[MNT_TOTAL]]&gt;=900,"HIGH VALUE","LOW VALUE")</f>
        <v>HIGH VALUE</v>
      </c>
      <c r="AP7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791" s="1"/>
      <c r="AR791" s="1"/>
    </row>
    <row r="792" spans="1:44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39</v>
      </c>
      <c r="X792">
        <v>2415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40</v>
      </c>
      <c r="AJ792">
        <v>8</v>
      </c>
      <c r="AK792">
        <v>0</v>
      </c>
      <c r="AL792">
        <f t="shared" si="12"/>
        <v>72</v>
      </c>
      <c r="AM792">
        <f>IF(OR(Table1[[#This Row],[marital_Married]]=1,Table1[[#This Row],[marital_Together]]=1),1,0)</f>
        <v>1</v>
      </c>
      <c r="AN792" t="str">
        <f>IF(Table1[[#This Row],[Income]]&gt;=70000,"HIGH INCOME","LOW INCOME")</f>
        <v>LOW INCOME</v>
      </c>
      <c r="AO792" s="1" t="str">
        <f>IF(Table1[[#This Row],[MNT_TOTAL]]&gt;=900,"HIGH VALUE","LOW VALUE")</f>
        <v>LOW VALUE</v>
      </c>
      <c r="AP7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92" s="1"/>
      <c r="AR792" s="1"/>
    </row>
    <row r="793" spans="1:44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48</v>
      </c>
      <c r="X793">
        <v>2594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38</v>
      </c>
      <c r="AJ793">
        <v>28</v>
      </c>
      <c r="AK793">
        <v>0</v>
      </c>
      <c r="AL793">
        <f t="shared" si="12"/>
        <v>48</v>
      </c>
      <c r="AM793">
        <f>IF(OR(Table1[[#This Row],[marital_Married]]=1,Table1[[#This Row],[marital_Together]]=1),1,0)</f>
        <v>0</v>
      </c>
      <c r="AN793" t="str">
        <f>IF(Table1[[#This Row],[Income]]&gt;=70000,"HIGH INCOME","LOW INCOME")</f>
        <v>LOW INCOME</v>
      </c>
      <c r="AO793" s="1" t="str">
        <f>IF(Table1[[#This Row],[MNT_TOTAL]]&gt;=900,"HIGH VALUE","LOW VALUE")</f>
        <v>LOW VALUE</v>
      </c>
      <c r="AP7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93" s="1"/>
      <c r="AR793" s="1"/>
    </row>
    <row r="794" spans="1:44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45</v>
      </c>
      <c r="X794">
        <v>2188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694</v>
      </c>
      <c r="AJ794">
        <v>662</v>
      </c>
      <c r="AK794">
        <v>0</v>
      </c>
      <c r="AL794">
        <f t="shared" si="12"/>
        <v>726</v>
      </c>
      <c r="AM794">
        <f>IF(OR(Table1[[#This Row],[marital_Married]]=1,Table1[[#This Row],[marital_Together]]=1),1,0)</f>
        <v>0</v>
      </c>
      <c r="AN794" t="str">
        <f>IF(Table1[[#This Row],[Income]]&gt;=70000,"HIGH INCOME","LOW INCOME")</f>
        <v>HIGH INCOME</v>
      </c>
      <c r="AO794" s="1" t="str">
        <f>IF(Table1[[#This Row],[MNT_TOTAL]]&gt;=900,"HIGH VALUE","LOW VALUE")</f>
        <v>LOW VALUE</v>
      </c>
      <c r="AP7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94" s="1"/>
      <c r="AR794" s="1"/>
    </row>
    <row r="795" spans="1:44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65</v>
      </c>
      <c r="X795">
        <v>2669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791</v>
      </c>
      <c r="AJ795">
        <v>722</v>
      </c>
      <c r="AK795">
        <v>0</v>
      </c>
      <c r="AL795">
        <f t="shared" si="12"/>
        <v>860</v>
      </c>
      <c r="AM795">
        <f>IF(OR(Table1[[#This Row],[marital_Married]]=1,Table1[[#This Row],[marital_Together]]=1),1,0)</f>
        <v>1</v>
      </c>
      <c r="AN795" t="str">
        <f>IF(Table1[[#This Row],[Income]]&gt;=70000,"HIGH INCOME","LOW INCOME")</f>
        <v>LOW INCOME</v>
      </c>
      <c r="AO795" s="1" t="str">
        <f>IF(Table1[[#This Row],[MNT_TOTAL]]&gt;=900,"HIGH VALUE","LOW VALUE")</f>
        <v>LOW VALUE</v>
      </c>
      <c r="AP7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95" s="1"/>
      <c r="AR795" s="1"/>
    </row>
    <row r="796" spans="1:44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34</v>
      </c>
      <c r="X796">
        <v>2377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1467</v>
      </c>
      <c r="AJ796">
        <v>1437</v>
      </c>
      <c r="AK796">
        <v>0</v>
      </c>
      <c r="AL796">
        <f t="shared" si="12"/>
        <v>1497</v>
      </c>
      <c r="AM796">
        <f>IF(OR(Table1[[#This Row],[marital_Married]]=1,Table1[[#This Row],[marital_Together]]=1),1,0)</f>
        <v>1</v>
      </c>
      <c r="AN796" t="str">
        <f>IF(Table1[[#This Row],[Income]]&gt;=70000,"HIGH INCOME","LOW INCOME")</f>
        <v>HIGH INCOME</v>
      </c>
      <c r="AO796" s="1" t="str">
        <f>IF(Table1[[#This Row],[MNT_TOTAL]]&gt;=900,"HIGH VALUE","LOW VALUE")</f>
        <v>HIGH VALUE</v>
      </c>
      <c r="AP7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796" s="1"/>
      <c r="AR796" s="1"/>
    </row>
    <row r="797" spans="1:44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50</v>
      </c>
      <c r="X797">
        <v>2207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491</v>
      </c>
      <c r="AJ797">
        <v>487</v>
      </c>
      <c r="AK797">
        <v>0</v>
      </c>
      <c r="AL797">
        <f t="shared" si="12"/>
        <v>495</v>
      </c>
      <c r="AM797">
        <f>IF(OR(Table1[[#This Row],[marital_Married]]=1,Table1[[#This Row],[marital_Together]]=1),1,0)</f>
        <v>1</v>
      </c>
      <c r="AN797" t="str">
        <f>IF(Table1[[#This Row],[Income]]&gt;=70000,"HIGH INCOME","LOW INCOME")</f>
        <v>LOW INCOME</v>
      </c>
      <c r="AO797" s="1" t="str">
        <f>IF(Table1[[#This Row],[MNT_TOTAL]]&gt;=900,"HIGH VALUE","LOW VALUE")</f>
        <v>LOW VALUE</v>
      </c>
      <c r="AP7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97" s="1"/>
      <c r="AR797" s="1"/>
    </row>
    <row r="798" spans="1:44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44</v>
      </c>
      <c r="X798">
        <v>2268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16</v>
      </c>
      <c r="AJ798">
        <v>12</v>
      </c>
      <c r="AK798">
        <v>0</v>
      </c>
      <c r="AL798">
        <f t="shared" si="12"/>
        <v>20</v>
      </c>
      <c r="AM798">
        <f>IF(OR(Table1[[#This Row],[marital_Married]]=1,Table1[[#This Row],[marital_Together]]=1),1,0)</f>
        <v>1</v>
      </c>
      <c r="AN798" t="str">
        <f>IF(Table1[[#This Row],[Income]]&gt;=70000,"HIGH INCOME","LOW INCOME")</f>
        <v>LOW INCOME</v>
      </c>
      <c r="AO798" s="1" t="str">
        <f>IF(Table1[[#This Row],[MNT_TOTAL]]&gt;=900,"HIGH VALUE","LOW VALUE")</f>
        <v>LOW VALUE</v>
      </c>
      <c r="AP7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798" s="1"/>
      <c r="AR798" s="1"/>
    </row>
    <row r="799" spans="1:44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66</v>
      </c>
      <c r="X799">
        <v>2741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502</v>
      </c>
      <c r="AJ799">
        <v>434</v>
      </c>
      <c r="AK799">
        <v>0</v>
      </c>
      <c r="AL799">
        <f t="shared" si="12"/>
        <v>570</v>
      </c>
      <c r="AM799">
        <f>IF(OR(Table1[[#This Row],[marital_Married]]=1,Table1[[#This Row],[marital_Together]]=1),1,0)</f>
        <v>0</v>
      </c>
      <c r="AN799" t="str">
        <f>IF(Table1[[#This Row],[Income]]&gt;=70000,"HIGH INCOME","LOW INCOME")</f>
        <v>LOW INCOME</v>
      </c>
      <c r="AO799" s="1" t="str">
        <f>IF(Table1[[#This Row],[MNT_TOTAL]]&gt;=900,"HIGH VALUE","LOW VALUE")</f>
        <v>LOW VALUE</v>
      </c>
      <c r="AP7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799" s="1"/>
      <c r="AR799" s="1"/>
    </row>
    <row r="800" spans="1:44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48</v>
      </c>
      <c r="X800">
        <v>2251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712</v>
      </c>
      <c r="AJ800">
        <v>655</v>
      </c>
      <c r="AK800">
        <v>0</v>
      </c>
      <c r="AL800">
        <f t="shared" si="12"/>
        <v>769</v>
      </c>
      <c r="AM800">
        <f>IF(OR(Table1[[#This Row],[marital_Married]]=1,Table1[[#This Row],[marital_Together]]=1),1,0)</f>
        <v>1</v>
      </c>
      <c r="AN800" t="str">
        <f>IF(Table1[[#This Row],[Income]]&gt;=70000,"HIGH INCOME","LOW INCOME")</f>
        <v>LOW INCOME</v>
      </c>
      <c r="AO800" s="1" t="str">
        <f>IF(Table1[[#This Row],[MNT_TOTAL]]&gt;=900,"HIGH VALUE","LOW VALUE")</f>
        <v>LOW VALUE</v>
      </c>
      <c r="AP8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00" s="1"/>
      <c r="AR800" s="1"/>
    </row>
    <row r="801" spans="1:44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42</v>
      </c>
      <c r="X801">
        <v>2460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43</v>
      </c>
      <c r="AJ801">
        <v>31</v>
      </c>
      <c r="AK801">
        <v>0</v>
      </c>
      <c r="AL801">
        <f t="shared" si="12"/>
        <v>55</v>
      </c>
      <c r="AM801">
        <f>IF(OR(Table1[[#This Row],[marital_Married]]=1,Table1[[#This Row],[marital_Together]]=1),1,0)</f>
        <v>1</v>
      </c>
      <c r="AN801" t="str">
        <f>IF(Table1[[#This Row],[Income]]&gt;=70000,"HIGH INCOME","LOW INCOME")</f>
        <v>LOW INCOME</v>
      </c>
      <c r="AO801" s="1" t="str">
        <f>IF(Table1[[#This Row],[MNT_TOTAL]]&gt;=900,"HIGH VALUE","LOW VALUE")</f>
        <v>LOW VALUE</v>
      </c>
      <c r="AP8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01" s="1"/>
      <c r="AR801" s="1"/>
    </row>
    <row r="802" spans="1:44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1</v>
      </c>
      <c r="W802">
        <v>40</v>
      </c>
      <c r="X802">
        <v>2579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1791</v>
      </c>
      <c r="AJ802">
        <v>1774</v>
      </c>
      <c r="AK802">
        <v>2</v>
      </c>
      <c r="AL802">
        <f t="shared" si="12"/>
        <v>1808</v>
      </c>
      <c r="AM802">
        <f>IF(OR(Table1[[#This Row],[marital_Married]]=1,Table1[[#This Row],[marital_Together]]=1),1,0)</f>
        <v>0</v>
      </c>
      <c r="AN802" t="str">
        <f>IF(Table1[[#This Row],[Income]]&gt;=70000,"HIGH INCOME","LOW INCOME")</f>
        <v>HIGH INCOME</v>
      </c>
      <c r="AO802" s="1" t="str">
        <f>IF(Table1[[#This Row],[MNT_TOTAL]]&gt;=900,"HIGH VALUE","LOW VALUE")</f>
        <v>HIGH VALUE</v>
      </c>
      <c r="AP8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02" s="1"/>
      <c r="AR802" s="1"/>
    </row>
    <row r="803" spans="1:44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48</v>
      </c>
      <c r="X803">
        <v>2484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44</v>
      </c>
      <c r="AJ803">
        <v>33</v>
      </c>
      <c r="AK803">
        <v>0</v>
      </c>
      <c r="AL803">
        <f t="shared" si="12"/>
        <v>55</v>
      </c>
      <c r="AM803">
        <f>IF(OR(Table1[[#This Row],[marital_Married]]=1,Table1[[#This Row],[marital_Together]]=1),1,0)</f>
        <v>1</v>
      </c>
      <c r="AN803" t="str">
        <f>IF(Table1[[#This Row],[Income]]&gt;=70000,"HIGH INCOME","LOW INCOME")</f>
        <v>LOW INCOME</v>
      </c>
      <c r="AO803" s="1" t="str">
        <f>IF(Table1[[#This Row],[MNT_TOTAL]]&gt;=900,"HIGH VALUE","LOW VALUE")</f>
        <v>LOW VALUE</v>
      </c>
      <c r="AP8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03" s="1"/>
      <c r="AR803" s="1"/>
    </row>
    <row r="804" spans="1:44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</v>
      </c>
      <c r="W804">
        <v>59</v>
      </c>
      <c r="X804">
        <v>2173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540</v>
      </c>
      <c r="AJ804">
        <v>503</v>
      </c>
      <c r="AK804">
        <v>1</v>
      </c>
      <c r="AL804">
        <f t="shared" si="12"/>
        <v>577</v>
      </c>
      <c r="AM804">
        <f>IF(OR(Table1[[#This Row],[marital_Married]]=1,Table1[[#This Row],[marital_Together]]=1),1,0)</f>
        <v>0</v>
      </c>
      <c r="AN804" t="str">
        <f>IF(Table1[[#This Row],[Income]]&gt;=70000,"HIGH INCOME","LOW INCOME")</f>
        <v>LOW INCOME</v>
      </c>
      <c r="AO804" s="1" t="str">
        <f>IF(Table1[[#This Row],[MNT_TOTAL]]&gt;=900,"HIGH VALUE","LOW VALUE")</f>
        <v>LOW VALUE</v>
      </c>
      <c r="AP8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04" s="1"/>
      <c r="AR804" s="1"/>
    </row>
    <row r="805" spans="1:44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57</v>
      </c>
      <c r="X805">
        <v>2596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120</v>
      </c>
      <c r="AJ805">
        <v>78</v>
      </c>
      <c r="AK805">
        <v>0</v>
      </c>
      <c r="AL805">
        <f t="shared" si="12"/>
        <v>162</v>
      </c>
      <c r="AM805">
        <f>IF(OR(Table1[[#This Row],[marital_Married]]=1,Table1[[#This Row],[marital_Together]]=1),1,0)</f>
        <v>1</v>
      </c>
      <c r="AN805" t="str">
        <f>IF(Table1[[#This Row],[Income]]&gt;=70000,"HIGH INCOME","LOW INCOME")</f>
        <v>LOW INCOME</v>
      </c>
      <c r="AO805" s="1" t="str">
        <f>IF(Table1[[#This Row],[MNT_TOTAL]]&gt;=900,"HIGH VALUE","LOW VALUE")</f>
        <v>LOW VALUE</v>
      </c>
      <c r="AP8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05" s="1"/>
      <c r="AR805" s="1"/>
    </row>
    <row r="806" spans="1:44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1</v>
      </c>
      <c r="W806">
        <v>61</v>
      </c>
      <c r="X806">
        <v>2562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1924</v>
      </c>
      <c r="AJ806">
        <v>1891</v>
      </c>
      <c r="AK806">
        <v>4</v>
      </c>
      <c r="AL806">
        <f t="shared" si="12"/>
        <v>1957</v>
      </c>
      <c r="AM806">
        <f>IF(OR(Table1[[#This Row],[marital_Married]]=1,Table1[[#This Row],[marital_Together]]=1),1,0)</f>
        <v>1</v>
      </c>
      <c r="AN806" t="str">
        <f>IF(Table1[[#This Row],[Income]]&gt;=70000,"HIGH INCOME","LOW INCOME")</f>
        <v>HIGH INCOME</v>
      </c>
      <c r="AO806" s="1" t="str">
        <f>IF(Table1[[#This Row],[MNT_TOTAL]]&gt;=900,"HIGH VALUE","LOW VALUE")</f>
        <v>HIGH VALUE</v>
      </c>
      <c r="AP8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06" s="1"/>
      <c r="AR806" s="1"/>
    </row>
    <row r="807" spans="1:44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61</v>
      </c>
      <c r="X807">
        <v>2598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1542</v>
      </c>
      <c r="AJ807">
        <v>1508</v>
      </c>
      <c r="AK807">
        <v>0</v>
      </c>
      <c r="AL807">
        <f t="shared" si="12"/>
        <v>1576</v>
      </c>
      <c r="AM807">
        <f>IF(OR(Table1[[#This Row],[marital_Married]]=1,Table1[[#This Row],[marital_Together]]=1),1,0)</f>
        <v>0</v>
      </c>
      <c r="AN807" t="str">
        <f>IF(Table1[[#This Row],[Income]]&gt;=70000,"HIGH INCOME","LOW INCOME")</f>
        <v>HIGH INCOME</v>
      </c>
      <c r="AO807" s="1" t="str">
        <f>IF(Table1[[#This Row],[MNT_TOTAL]]&gt;=900,"HIGH VALUE","LOW VALUE")</f>
        <v>HIGH VALUE</v>
      </c>
      <c r="AP8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07" s="1"/>
      <c r="AR807" s="1"/>
    </row>
    <row r="808" spans="1:44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66</v>
      </c>
      <c r="X808">
        <v>2577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1601</v>
      </c>
      <c r="AJ808">
        <v>1586</v>
      </c>
      <c r="AK808">
        <v>2</v>
      </c>
      <c r="AL808">
        <f t="shared" si="12"/>
        <v>1616</v>
      </c>
      <c r="AM808">
        <f>IF(OR(Table1[[#This Row],[marital_Married]]=1,Table1[[#This Row],[marital_Together]]=1),1,0)</f>
        <v>1</v>
      </c>
      <c r="AN808" t="str">
        <f>IF(Table1[[#This Row],[Income]]&gt;=70000,"HIGH INCOME","LOW INCOME")</f>
        <v>HIGH INCOME</v>
      </c>
      <c r="AO808" s="1" t="str">
        <f>IF(Table1[[#This Row],[MNT_TOTAL]]&gt;=900,"HIGH VALUE","LOW VALUE")</f>
        <v>HIGH VALUE</v>
      </c>
      <c r="AP8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08" s="1"/>
      <c r="AR808" s="1"/>
    </row>
    <row r="809" spans="1:44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58</v>
      </c>
      <c r="X809">
        <v>2692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34</v>
      </c>
      <c r="AJ809">
        <v>32</v>
      </c>
      <c r="AK809">
        <v>0</v>
      </c>
      <c r="AL809">
        <f t="shared" si="12"/>
        <v>36</v>
      </c>
      <c r="AM809">
        <f>IF(OR(Table1[[#This Row],[marital_Married]]=1,Table1[[#This Row],[marital_Together]]=1),1,0)</f>
        <v>0</v>
      </c>
      <c r="AN809" t="str">
        <f>IF(Table1[[#This Row],[Income]]&gt;=70000,"HIGH INCOME","LOW INCOME")</f>
        <v>LOW INCOME</v>
      </c>
      <c r="AO809" s="1" t="str">
        <f>IF(Table1[[#This Row],[MNT_TOTAL]]&gt;=900,"HIGH VALUE","LOW VALUE")</f>
        <v>LOW VALUE</v>
      </c>
      <c r="AP8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09" s="1"/>
      <c r="AR809" s="1"/>
    </row>
    <row r="810" spans="1:44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62</v>
      </c>
      <c r="X810">
        <v>2573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1426</v>
      </c>
      <c r="AJ810">
        <v>1370</v>
      </c>
      <c r="AK810">
        <v>0</v>
      </c>
      <c r="AL810">
        <f t="shared" si="12"/>
        <v>1482</v>
      </c>
      <c r="AM810">
        <f>IF(OR(Table1[[#This Row],[marital_Married]]=1,Table1[[#This Row],[marital_Together]]=1),1,0)</f>
        <v>0</v>
      </c>
      <c r="AN810" t="str">
        <f>IF(Table1[[#This Row],[Income]]&gt;=70000,"HIGH INCOME","LOW INCOME")</f>
        <v>HIGH INCOME</v>
      </c>
      <c r="AO810" s="1" t="str">
        <f>IF(Table1[[#This Row],[MNT_TOTAL]]&gt;=900,"HIGH VALUE","LOW VALUE")</f>
        <v>HIGH VALUE</v>
      </c>
      <c r="AP8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10" s="1"/>
      <c r="AR810" s="1"/>
    </row>
    <row r="811" spans="1:44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36</v>
      </c>
      <c r="X811">
        <v>2279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21</v>
      </c>
      <c r="AJ811">
        <v>20</v>
      </c>
      <c r="AK811">
        <v>0</v>
      </c>
      <c r="AL811">
        <f t="shared" si="12"/>
        <v>22</v>
      </c>
      <c r="AM811">
        <f>IF(OR(Table1[[#This Row],[marital_Married]]=1,Table1[[#This Row],[marital_Together]]=1),1,0)</f>
        <v>1</v>
      </c>
      <c r="AN811" t="str">
        <f>IF(Table1[[#This Row],[Income]]&gt;=70000,"HIGH INCOME","LOW INCOME")</f>
        <v>LOW INCOME</v>
      </c>
      <c r="AO811" s="1" t="str">
        <f>IF(Table1[[#This Row],[MNT_TOTAL]]&gt;=900,"HIGH VALUE","LOW VALUE")</f>
        <v>LOW VALUE</v>
      </c>
      <c r="AP8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11" s="1"/>
      <c r="AR811" s="1"/>
    </row>
    <row r="812" spans="1:44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44</v>
      </c>
      <c r="X812">
        <v>2378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55</v>
      </c>
      <c r="AJ812">
        <v>47</v>
      </c>
      <c r="AK812">
        <v>0</v>
      </c>
      <c r="AL812">
        <f t="shared" si="12"/>
        <v>63</v>
      </c>
      <c r="AM812">
        <f>IF(OR(Table1[[#This Row],[marital_Married]]=1,Table1[[#This Row],[marital_Together]]=1),1,0)</f>
        <v>0</v>
      </c>
      <c r="AN812" t="str">
        <f>IF(Table1[[#This Row],[Income]]&gt;=70000,"HIGH INCOME","LOW INCOME")</f>
        <v>LOW INCOME</v>
      </c>
      <c r="AO812" s="1" t="str">
        <f>IF(Table1[[#This Row],[MNT_TOTAL]]&gt;=900,"HIGH VALUE","LOW VALUE")</f>
        <v>LOW VALUE</v>
      </c>
      <c r="AP8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12" s="1"/>
      <c r="AR812" s="1"/>
    </row>
    <row r="813" spans="1:44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28</v>
      </c>
      <c r="X813">
        <v>2816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535</v>
      </c>
      <c r="AJ813">
        <v>390</v>
      </c>
      <c r="AK813">
        <v>0</v>
      </c>
      <c r="AL813">
        <f t="shared" si="12"/>
        <v>680</v>
      </c>
      <c r="AM813">
        <f>IF(OR(Table1[[#This Row],[marital_Married]]=1,Table1[[#This Row],[marital_Together]]=1),1,0)</f>
        <v>0</v>
      </c>
      <c r="AN813" t="str">
        <f>IF(Table1[[#This Row],[Income]]&gt;=70000,"HIGH INCOME","LOW INCOME")</f>
        <v>LOW INCOME</v>
      </c>
      <c r="AO813" s="1" t="str">
        <f>IF(Table1[[#This Row],[MNT_TOTAL]]&gt;=900,"HIGH VALUE","LOW VALUE")</f>
        <v>LOW VALUE</v>
      </c>
      <c r="AP8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13" s="1"/>
      <c r="AR813" s="1"/>
    </row>
    <row r="814" spans="1:44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53</v>
      </c>
      <c r="X814">
        <v>2579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532</v>
      </c>
      <c r="AJ814">
        <v>522</v>
      </c>
      <c r="AK814">
        <v>0</v>
      </c>
      <c r="AL814">
        <f t="shared" si="12"/>
        <v>542</v>
      </c>
      <c r="AM814">
        <f>IF(OR(Table1[[#This Row],[marital_Married]]=1,Table1[[#This Row],[marital_Together]]=1),1,0)</f>
        <v>1</v>
      </c>
      <c r="AN814" t="str">
        <f>IF(Table1[[#This Row],[Income]]&gt;=70000,"HIGH INCOME","LOW INCOME")</f>
        <v>LOW INCOME</v>
      </c>
      <c r="AO814" s="1" t="str">
        <f>IF(Table1[[#This Row],[MNT_TOTAL]]&gt;=900,"HIGH VALUE","LOW VALUE")</f>
        <v>LOW VALUE</v>
      </c>
      <c r="AP8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14" s="1"/>
      <c r="AR814" s="1"/>
    </row>
    <row r="815" spans="1:44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40</v>
      </c>
      <c r="X815">
        <v>2429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32</v>
      </c>
      <c r="AJ815">
        <v>14</v>
      </c>
      <c r="AK815">
        <v>0</v>
      </c>
      <c r="AL815">
        <f t="shared" si="12"/>
        <v>50</v>
      </c>
      <c r="AM815">
        <f>IF(OR(Table1[[#This Row],[marital_Married]]=1,Table1[[#This Row],[marital_Together]]=1),1,0)</f>
        <v>1</v>
      </c>
      <c r="AN815" t="str">
        <f>IF(Table1[[#This Row],[Income]]&gt;=70000,"HIGH INCOME","LOW INCOME")</f>
        <v>LOW INCOME</v>
      </c>
      <c r="AO815" s="1" t="str">
        <f>IF(Table1[[#This Row],[MNT_TOTAL]]&gt;=900,"HIGH VALUE","LOW VALUE")</f>
        <v>LOW VALUE</v>
      </c>
      <c r="AP8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15" s="1"/>
      <c r="AR815" s="1"/>
    </row>
    <row r="816" spans="1:44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53</v>
      </c>
      <c r="X816">
        <v>2659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38</v>
      </c>
      <c r="AJ816">
        <v>37</v>
      </c>
      <c r="AK816">
        <v>0</v>
      </c>
      <c r="AL816">
        <f t="shared" si="12"/>
        <v>39</v>
      </c>
      <c r="AM816">
        <f>IF(OR(Table1[[#This Row],[marital_Married]]=1,Table1[[#This Row],[marital_Together]]=1),1,0)</f>
        <v>1</v>
      </c>
      <c r="AN816" t="str">
        <f>IF(Table1[[#This Row],[Income]]&gt;=70000,"HIGH INCOME","LOW INCOME")</f>
        <v>LOW INCOME</v>
      </c>
      <c r="AO816" s="1" t="str">
        <f>IF(Table1[[#This Row],[MNT_TOTAL]]&gt;=900,"HIGH VALUE","LOW VALUE")</f>
        <v>LOW VALUE</v>
      </c>
      <c r="AP8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16" s="1"/>
      <c r="AR816" s="1"/>
    </row>
    <row r="817" spans="1:44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64</v>
      </c>
      <c r="X817">
        <v>2616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902</v>
      </c>
      <c r="AJ817">
        <v>761</v>
      </c>
      <c r="AK817">
        <v>0</v>
      </c>
      <c r="AL817">
        <f t="shared" si="12"/>
        <v>1043</v>
      </c>
      <c r="AM817">
        <f>IF(OR(Table1[[#This Row],[marital_Married]]=1,Table1[[#This Row],[marital_Together]]=1),1,0)</f>
        <v>1</v>
      </c>
      <c r="AN817" t="str">
        <f>IF(Table1[[#This Row],[Income]]&gt;=70000,"HIGH INCOME","LOW INCOME")</f>
        <v>HIGH INCOME</v>
      </c>
      <c r="AO817" s="1" t="str">
        <f>IF(Table1[[#This Row],[MNT_TOTAL]]&gt;=900,"HIGH VALUE","LOW VALUE")</f>
        <v>HIGH VALUE</v>
      </c>
      <c r="AP8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17" s="1"/>
      <c r="AR817" s="1"/>
    </row>
    <row r="818" spans="1:44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48</v>
      </c>
      <c r="X818">
        <v>2589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303</v>
      </c>
      <c r="AJ818">
        <v>221</v>
      </c>
      <c r="AK818">
        <v>0</v>
      </c>
      <c r="AL818">
        <f t="shared" si="12"/>
        <v>385</v>
      </c>
      <c r="AM818">
        <f>IF(OR(Table1[[#This Row],[marital_Married]]=1,Table1[[#This Row],[marital_Together]]=1),1,0)</f>
        <v>0</v>
      </c>
      <c r="AN818" t="str">
        <f>IF(Table1[[#This Row],[Income]]&gt;=70000,"HIGH INCOME","LOW INCOME")</f>
        <v>LOW INCOME</v>
      </c>
      <c r="AO818" s="1" t="str">
        <f>IF(Table1[[#This Row],[MNT_TOTAL]]&gt;=900,"HIGH VALUE","LOW VALUE")</f>
        <v>LOW VALUE</v>
      </c>
      <c r="AP8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18" s="1"/>
      <c r="AR818" s="1"/>
    </row>
    <row r="819" spans="1:44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40</v>
      </c>
      <c r="X819">
        <v>2803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1446</v>
      </c>
      <c r="AJ819">
        <v>1259</v>
      </c>
      <c r="AK819">
        <v>0</v>
      </c>
      <c r="AL819">
        <f t="shared" si="12"/>
        <v>1633</v>
      </c>
      <c r="AM819">
        <f>IF(OR(Table1[[#This Row],[marital_Married]]=1,Table1[[#This Row],[marital_Together]]=1),1,0)</f>
        <v>0</v>
      </c>
      <c r="AN819" t="str">
        <f>IF(Table1[[#This Row],[Income]]&gt;=70000,"HIGH INCOME","LOW INCOME")</f>
        <v>HIGH INCOME</v>
      </c>
      <c r="AO819" s="1" t="str">
        <f>IF(Table1[[#This Row],[MNT_TOTAL]]&gt;=900,"HIGH VALUE","LOW VALUE")</f>
        <v>HIGH VALUE</v>
      </c>
      <c r="AP8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19" s="1"/>
      <c r="AR819" s="1"/>
    </row>
    <row r="820" spans="1:44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40</v>
      </c>
      <c r="X820">
        <v>2521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38</v>
      </c>
      <c r="AJ820">
        <v>30</v>
      </c>
      <c r="AK820">
        <v>0</v>
      </c>
      <c r="AL820">
        <f t="shared" si="12"/>
        <v>46</v>
      </c>
      <c r="AM820">
        <f>IF(OR(Table1[[#This Row],[marital_Married]]=1,Table1[[#This Row],[marital_Together]]=1),1,0)</f>
        <v>0</v>
      </c>
      <c r="AN820" t="str">
        <f>IF(Table1[[#This Row],[Income]]&gt;=70000,"HIGH INCOME","LOW INCOME")</f>
        <v>LOW INCOME</v>
      </c>
      <c r="AO820" s="1" t="str">
        <f>IF(Table1[[#This Row],[MNT_TOTAL]]&gt;=900,"HIGH VALUE","LOW VALUE")</f>
        <v>LOW VALUE</v>
      </c>
      <c r="AP8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20" s="1"/>
      <c r="AR820" s="1"/>
    </row>
    <row r="821" spans="1:44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43</v>
      </c>
      <c r="X821">
        <v>2259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590</v>
      </c>
      <c r="AJ821">
        <v>419</v>
      </c>
      <c r="AK821">
        <v>1</v>
      </c>
      <c r="AL821">
        <f t="shared" si="12"/>
        <v>761</v>
      </c>
      <c r="AM821">
        <f>IF(OR(Table1[[#This Row],[marital_Married]]=1,Table1[[#This Row],[marital_Together]]=1),1,0)</f>
        <v>0</v>
      </c>
      <c r="AN821" t="str">
        <f>IF(Table1[[#This Row],[Income]]&gt;=70000,"HIGH INCOME","LOW INCOME")</f>
        <v>LOW INCOME</v>
      </c>
      <c r="AO821" s="1" t="str">
        <f>IF(Table1[[#This Row],[MNT_TOTAL]]&gt;=900,"HIGH VALUE","LOW VALUE")</f>
        <v>LOW VALUE</v>
      </c>
      <c r="AP8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21" s="1"/>
      <c r="AR821" s="1"/>
    </row>
    <row r="822" spans="1:44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70</v>
      </c>
      <c r="X822">
        <v>2487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59</v>
      </c>
      <c r="AJ822">
        <v>42</v>
      </c>
      <c r="AK822">
        <v>0</v>
      </c>
      <c r="AL822">
        <f t="shared" si="12"/>
        <v>76</v>
      </c>
      <c r="AM822">
        <f>IF(OR(Table1[[#This Row],[marital_Married]]=1,Table1[[#This Row],[marital_Together]]=1),1,0)</f>
        <v>1</v>
      </c>
      <c r="AN822" t="str">
        <f>IF(Table1[[#This Row],[Income]]&gt;=70000,"HIGH INCOME","LOW INCOME")</f>
        <v>LOW INCOME</v>
      </c>
      <c r="AO822" s="1" t="str">
        <f>IF(Table1[[#This Row],[MNT_TOTAL]]&gt;=900,"HIGH VALUE","LOW VALUE")</f>
        <v>LOW VALUE</v>
      </c>
      <c r="AP8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22" s="1"/>
      <c r="AR822" s="1"/>
    </row>
    <row r="823" spans="1:44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46</v>
      </c>
      <c r="X823">
        <v>2736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262</v>
      </c>
      <c r="AJ823">
        <v>234</v>
      </c>
      <c r="AK823">
        <v>0</v>
      </c>
      <c r="AL823">
        <f t="shared" si="12"/>
        <v>290</v>
      </c>
      <c r="AM823">
        <f>IF(OR(Table1[[#This Row],[marital_Married]]=1,Table1[[#This Row],[marital_Together]]=1),1,0)</f>
        <v>1</v>
      </c>
      <c r="AN823" t="str">
        <f>IF(Table1[[#This Row],[Income]]&gt;=70000,"HIGH INCOME","LOW INCOME")</f>
        <v>LOW INCOME</v>
      </c>
      <c r="AO823" s="1" t="str">
        <f>IF(Table1[[#This Row],[MNT_TOTAL]]&gt;=900,"HIGH VALUE","LOW VALUE")</f>
        <v>LOW VALUE</v>
      </c>
      <c r="AP8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23" s="1"/>
      <c r="AR823" s="1"/>
    </row>
    <row r="824" spans="1:44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32</v>
      </c>
      <c r="X824">
        <v>2207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69</v>
      </c>
      <c r="AJ824">
        <v>49</v>
      </c>
      <c r="AK824">
        <v>0</v>
      </c>
      <c r="AL824">
        <f t="shared" si="12"/>
        <v>89</v>
      </c>
      <c r="AM824">
        <f>IF(OR(Table1[[#This Row],[marital_Married]]=1,Table1[[#This Row],[marital_Together]]=1),1,0)</f>
        <v>0</v>
      </c>
      <c r="AN824" t="str">
        <f>IF(Table1[[#This Row],[Income]]&gt;=70000,"HIGH INCOME","LOW INCOME")</f>
        <v>LOW INCOME</v>
      </c>
      <c r="AO824" s="1" t="str">
        <f>IF(Table1[[#This Row],[MNT_TOTAL]]&gt;=900,"HIGH VALUE","LOW VALUE")</f>
        <v>LOW VALUE</v>
      </c>
      <c r="AP8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24" s="1"/>
      <c r="AR824" s="1"/>
    </row>
    <row r="825" spans="1:44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39</v>
      </c>
      <c r="X825">
        <v>2755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63</v>
      </c>
      <c r="AJ825">
        <v>56</v>
      </c>
      <c r="AK825">
        <v>0</v>
      </c>
      <c r="AL825">
        <f t="shared" si="12"/>
        <v>70</v>
      </c>
      <c r="AM825">
        <f>IF(OR(Table1[[#This Row],[marital_Married]]=1,Table1[[#This Row],[marital_Together]]=1),1,0)</f>
        <v>1</v>
      </c>
      <c r="AN825" t="str">
        <f>IF(Table1[[#This Row],[Income]]&gt;=70000,"HIGH INCOME","LOW INCOME")</f>
        <v>LOW INCOME</v>
      </c>
      <c r="AO825" s="1" t="str">
        <f>IF(Table1[[#This Row],[MNT_TOTAL]]&gt;=900,"HIGH VALUE","LOW VALUE")</f>
        <v>LOW VALUE</v>
      </c>
      <c r="AP8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25" s="1"/>
      <c r="AR825" s="1"/>
    </row>
    <row r="826" spans="1:44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60</v>
      </c>
      <c r="X826">
        <v>2496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1012</v>
      </c>
      <c r="AJ826">
        <v>958</v>
      </c>
      <c r="AK826">
        <v>0</v>
      </c>
      <c r="AL826">
        <f t="shared" si="12"/>
        <v>1066</v>
      </c>
      <c r="AM826">
        <f>IF(OR(Table1[[#This Row],[marital_Married]]=1,Table1[[#This Row],[marital_Together]]=1),1,0)</f>
        <v>1</v>
      </c>
      <c r="AN826" t="str">
        <f>IF(Table1[[#This Row],[Income]]&gt;=70000,"HIGH INCOME","LOW INCOME")</f>
        <v>HIGH INCOME</v>
      </c>
      <c r="AO826" s="1" t="str">
        <f>IF(Table1[[#This Row],[MNT_TOTAL]]&gt;=900,"HIGH VALUE","LOW VALUE")</f>
        <v>HIGH VALUE</v>
      </c>
      <c r="AP8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26" s="1"/>
      <c r="AR826" s="1"/>
    </row>
    <row r="827" spans="1:44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50</v>
      </c>
      <c r="X827">
        <v>2326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1879</v>
      </c>
      <c r="AJ827">
        <v>1749</v>
      </c>
      <c r="AK827">
        <v>3</v>
      </c>
      <c r="AL827">
        <f t="shared" si="12"/>
        <v>2009</v>
      </c>
      <c r="AM827">
        <f>IF(OR(Table1[[#This Row],[marital_Married]]=1,Table1[[#This Row],[marital_Together]]=1),1,0)</f>
        <v>1</v>
      </c>
      <c r="AN827" t="str">
        <f>IF(Table1[[#This Row],[Income]]&gt;=70000,"HIGH INCOME","LOW INCOME")</f>
        <v>HIGH INCOME</v>
      </c>
      <c r="AO827" s="1" t="str">
        <f>IF(Table1[[#This Row],[MNT_TOTAL]]&gt;=900,"HIGH VALUE","LOW VALUE")</f>
        <v>HIGH VALUE</v>
      </c>
      <c r="AP8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27" s="1"/>
      <c r="AR827" s="1"/>
    </row>
    <row r="828" spans="1:44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29</v>
      </c>
      <c r="X828">
        <v>2797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1140</v>
      </c>
      <c r="AJ828">
        <v>935</v>
      </c>
      <c r="AK828">
        <v>0</v>
      </c>
      <c r="AL828">
        <f t="shared" si="12"/>
        <v>1345</v>
      </c>
      <c r="AM828">
        <f>IF(OR(Table1[[#This Row],[marital_Married]]=1,Table1[[#This Row],[marital_Together]]=1),1,0)</f>
        <v>0</v>
      </c>
      <c r="AN828" t="str">
        <f>IF(Table1[[#This Row],[Income]]&gt;=70000,"HIGH INCOME","LOW INCOME")</f>
        <v>LOW INCOME</v>
      </c>
      <c r="AO828" s="1" t="str">
        <f>IF(Table1[[#This Row],[MNT_TOTAL]]&gt;=900,"HIGH VALUE","LOW VALUE")</f>
        <v>HIGH VALUE</v>
      </c>
      <c r="AP8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28" s="1"/>
      <c r="AR828" s="1"/>
    </row>
    <row r="829" spans="1:44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64</v>
      </c>
      <c r="X829">
        <v>2711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701</v>
      </c>
      <c r="AJ829">
        <v>638</v>
      </c>
      <c r="AK829">
        <v>0</v>
      </c>
      <c r="AL829">
        <f t="shared" si="12"/>
        <v>764</v>
      </c>
      <c r="AM829">
        <f>IF(OR(Table1[[#This Row],[marital_Married]]=1,Table1[[#This Row],[marital_Together]]=1),1,0)</f>
        <v>0</v>
      </c>
      <c r="AN829" t="str">
        <f>IF(Table1[[#This Row],[Income]]&gt;=70000,"HIGH INCOME","LOW INCOME")</f>
        <v>LOW INCOME</v>
      </c>
      <c r="AO829" s="1" t="str">
        <f>IF(Table1[[#This Row],[MNT_TOTAL]]&gt;=900,"HIGH VALUE","LOW VALUE")</f>
        <v>LOW VALUE</v>
      </c>
      <c r="AP8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29" s="1"/>
      <c r="AR829" s="1"/>
    </row>
    <row r="830" spans="1:44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57</v>
      </c>
      <c r="X830">
        <v>2408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181</v>
      </c>
      <c r="AJ830">
        <v>167</v>
      </c>
      <c r="AK830">
        <v>0</v>
      </c>
      <c r="AL830">
        <f t="shared" si="12"/>
        <v>195</v>
      </c>
      <c r="AM830">
        <f>IF(OR(Table1[[#This Row],[marital_Married]]=1,Table1[[#This Row],[marital_Together]]=1),1,0)</f>
        <v>0</v>
      </c>
      <c r="AN830" t="str">
        <f>IF(Table1[[#This Row],[Income]]&gt;=70000,"HIGH INCOME","LOW INCOME")</f>
        <v>LOW INCOME</v>
      </c>
      <c r="AO830" s="1" t="str">
        <f>IF(Table1[[#This Row],[MNT_TOTAL]]&gt;=900,"HIGH VALUE","LOW VALUE")</f>
        <v>LOW VALUE</v>
      </c>
      <c r="AP8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30" s="1"/>
      <c r="AR830" s="1"/>
    </row>
    <row r="831" spans="1:44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40</v>
      </c>
      <c r="X831">
        <v>2574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35</v>
      </c>
      <c r="AJ831">
        <v>17</v>
      </c>
      <c r="AK831">
        <v>0</v>
      </c>
      <c r="AL831">
        <f t="shared" si="12"/>
        <v>53</v>
      </c>
      <c r="AM831">
        <f>IF(OR(Table1[[#This Row],[marital_Married]]=1,Table1[[#This Row],[marital_Together]]=1),1,0)</f>
        <v>1</v>
      </c>
      <c r="AN831" t="str">
        <f>IF(Table1[[#This Row],[Income]]&gt;=70000,"HIGH INCOME","LOW INCOME")</f>
        <v>LOW INCOME</v>
      </c>
      <c r="AO831" s="1" t="str">
        <f>IF(Table1[[#This Row],[MNT_TOTAL]]&gt;=900,"HIGH VALUE","LOW VALUE")</f>
        <v>LOW VALUE</v>
      </c>
      <c r="AP8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1" s="1"/>
      <c r="AR831" s="1"/>
    </row>
    <row r="832" spans="1:44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46</v>
      </c>
      <c r="X832">
        <v>2540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258</v>
      </c>
      <c r="AJ832">
        <v>148</v>
      </c>
      <c r="AK832">
        <v>0</v>
      </c>
      <c r="AL832">
        <f t="shared" si="12"/>
        <v>368</v>
      </c>
      <c r="AM832">
        <f>IF(OR(Table1[[#This Row],[marital_Married]]=1,Table1[[#This Row],[marital_Together]]=1),1,0)</f>
        <v>0</v>
      </c>
      <c r="AN832" t="str">
        <f>IF(Table1[[#This Row],[Income]]&gt;=70000,"HIGH INCOME","LOW INCOME")</f>
        <v>LOW INCOME</v>
      </c>
      <c r="AO832" s="1" t="str">
        <f>IF(Table1[[#This Row],[MNT_TOTAL]]&gt;=900,"HIGH VALUE","LOW VALUE")</f>
        <v>LOW VALUE</v>
      </c>
      <c r="AP8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32" s="1"/>
      <c r="AR832" s="1"/>
    </row>
    <row r="833" spans="1:44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66</v>
      </c>
      <c r="X833">
        <v>2328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539</v>
      </c>
      <c r="AJ833">
        <v>534</v>
      </c>
      <c r="AK833">
        <v>0</v>
      </c>
      <c r="AL833">
        <f t="shared" si="12"/>
        <v>544</v>
      </c>
      <c r="AM833">
        <f>IF(OR(Table1[[#This Row],[marital_Married]]=1,Table1[[#This Row],[marital_Together]]=1),1,0)</f>
        <v>1</v>
      </c>
      <c r="AN833" t="str">
        <f>IF(Table1[[#This Row],[Income]]&gt;=70000,"HIGH INCOME","LOW INCOME")</f>
        <v>LOW INCOME</v>
      </c>
      <c r="AO833" s="1" t="str">
        <f>IF(Table1[[#This Row],[MNT_TOTAL]]&gt;=900,"HIGH VALUE","LOW VALUE")</f>
        <v>LOW VALUE</v>
      </c>
      <c r="AP8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3" s="1"/>
      <c r="AR833" s="1"/>
    </row>
    <row r="834" spans="1:44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63</v>
      </c>
      <c r="X834">
        <v>2759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1790</v>
      </c>
      <c r="AJ834">
        <v>1727</v>
      </c>
      <c r="AK834">
        <v>2</v>
      </c>
      <c r="AL834">
        <f t="shared" ref="AL834:AL897" si="13">SUM(E834:J834)</f>
        <v>1853</v>
      </c>
      <c r="AM834">
        <f>IF(OR(Table1[[#This Row],[marital_Married]]=1,Table1[[#This Row],[marital_Together]]=1),1,0)</f>
        <v>1</v>
      </c>
      <c r="AN834" t="str">
        <f>IF(Table1[[#This Row],[Income]]&gt;=70000,"HIGH INCOME","LOW INCOME")</f>
        <v>HIGH INCOME</v>
      </c>
      <c r="AO834" s="1" t="str">
        <f>IF(Table1[[#This Row],[MNT_TOTAL]]&gt;=900,"HIGH VALUE","LOW VALUE")</f>
        <v>HIGH VALUE</v>
      </c>
      <c r="AP8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34" s="1"/>
      <c r="AR834" s="1"/>
    </row>
    <row r="835" spans="1:44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2193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26</v>
      </c>
      <c r="AJ835">
        <v>17</v>
      </c>
      <c r="AK835">
        <v>1</v>
      </c>
      <c r="AL835">
        <f t="shared" si="13"/>
        <v>35</v>
      </c>
      <c r="AM835">
        <f>IF(OR(Table1[[#This Row],[marital_Married]]=1,Table1[[#This Row],[marital_Together]]=1),1,0)</f>
        <v>1</v>
      </c>
      <c r="AN835" t="str">
        <f>IF(Table1[[#This Row],[Income]]&gt;=70000,"HIGH INCOME","LOW INCOME")</f>
        <v>LOW INCOME</v>
      </c>
      <c r="AO835" s="1" t="str">
        <f>IF(Table1[[#This Row],[MNT_TOTAL]]&gt;=900,"HIGH VALUE","LOW VALUE")</f>
        <v>LOW VALUE</v>
      </c>
      <c r="AP8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5" s="1"/>
      <c r="AR835" s="1"/>
    </row>
    <row r="836" spans="1:44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46</v>
      </c>
      <c r="X836">
        <v>2263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429</v>
      </c>
      <c r="AJ836">
        <v>412</v>
      </c>
      <c r="AK836">
        <v>2</v>
      </c>
      <c r="AL836">
        <f t="shared" si="13"/>
        <v>446</v>
      </c>
      <c r="AM836">
        <f>IF(OR(Table1[[#This Row],[marital_Married]]=1,Table1[[#This Row],[marital_Together]]=1),1,0)</f>
        <v>1</v>
      </c>
      <c r="AN836" t="str">
        <f>IF(Table1[[#This Row],[Income]]&gt;=70000,"HIGH INCOME","LOW INCOME")</f>
        <v>LOW INCOME</v>
      </c>
      <c r="AO836" s="1" t="str">
        <f>IF(Table1[[#This Row],[MNT_TOTAL]]&gt;=900,"HIGH VALUE","LOW VALUE")</f>
        <v>LOW VALUE</v>
      </c>
      <c r="AP8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6" s="1"/>
      <c r="AR836" s="1"/>
    </row>
    <row r="837" spans="1:44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41</v>
      </c>
      <c r="X837">
        <v>2613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1010</v>
      </c>
      <c r="AJ837">
        <v>840</v>
      </c>
      <c r="AK837">
        <v>0</v>
      </c>
      <c r="AL837">
        <f t="shared" si="13"/>
        <v>1180</v>
      </c>
      <c r="AM837">
        <f>IF(OR(Table1[[#This Row],[marital_Married]]=1,Table1[[#This Row],[marital_Together]]=1),1,0)</f>
        <v>0</v>
      </c>
      <c r="AN837" t="str">
        <f>IF(Table1[[#This Row],[Income]]&gt;=70000,"HIGH INCOME","LOW INCOME")</f>
        <v>LOW INCOME</v>
      </c>
      <c r="AO837" s="1" t="str">
        <f>IF(Table1[[#This Row],[MNT_TOTAL]]&gt;=900,"HIGH VALUE","LOW VALUE")</f>
        <v>HIGH VALUE</v>
      </c>
      <c r="AP8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37" s="1"/>
      <c r="AR837" s="1"/>
    </row>
    <row r="838" spans="1:44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47</v>
      </c>
      <c r="X838">
        <v>2276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41</v>
      </c>
      <c r="AJ838">
        <v>41</v>
      </c>
      <c r="AK838">
        <v>0</v>
      </c>
      <c r="AL838">
        <f t="shared" si="13"/>
        <v>41</v>
      </c>
      <c r="AM838">
        <f>IF(OR(Table1[[#This Row],[marital_Married]]=1,Table1[[#This Row],[marital_Together]]=1),1,0)</f>
        <v>1</v>
      </c>
      <c r="AN838" t="str">
        <f>IF(Table1[[#This Row],[Income]]&gt;=70000,"HIGH INCOME","LOW INCOME")</f>
        <v>LOW INCOME</v>
      </c>
      <c r="AO838" s="1" t="str">
        <f>IF(Table1[[#This Row],[MNT_TOTAL]]&gt;=900,"HIGH VALUE","LOW VALUE")</f>
        <v>LOW VALUE</v>
      </c>
      <c r="AP8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8" s="1"/>
      <c r="AR838" s="1"/>
    </row>
    <row r="839" spans="1:44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35</v>
      </c>
      <c r="X839">
        <v>2654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663</v>
      </c>
      <c r="AJ839">
        <v>599</v>
      </c>
      <c r="AK839">
        <v>0</v>
      </c>
      <c r="AL839">
        <f t="shared" si="13"/>
        <v>727</v>
      </c>
      <c r="AM839">
        <f>IF(OR(Table1[[#This Row],[marital_Married]]=1,Table1[[#This Row],[marital_Together]]=1),1,0)</f>
        <v>1</v>
      </c>
      <c r="AN839" t="str">
        <f>IF(Table1[[#This Row],[Income]]&gt;=70000,"HIGH INCOME","LOW INCOME")</f>
        <v>LOW INCOME</v>
      </c>
      <c r="AO839" s="1" t="str">
        <f>IF(Table1[[#This Row],[MNT_TOTAL]]&gt;=900,"HIGH VALUE","LOW VALUE")</f>
        <v>LOW VALUE</v>
      </c>
      <c r="AP8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39" s="1"/>
      <c r="AR839" s="1"/>
    </row>
    <row r="840" spans="1:44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2792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39</v>
      </c>
      <c r="AJ840">
        <v>38</v>
      </c>
      <c r="AK840">
        <v>0</v>
      </c>
      <c r="AL840">
        <f t="shared" si="13"/>
        <v>40</v>
      </c>
      <c r="AM840">
        <f>IF(OR(Table1[[#This Row],[marital_Married]]=1,Table1[[#This Row],[marital_Together]]=1),1,0)</f>
        <v>1</v>
      </c>
      <c r="AN840" t="str">
        <f>IF(Table1[[#This Row],[Income]]&gt;=70000,"HIGH INCOME","LOW INCOME")</f>
        <v>LOW INCOME</v>
      </c>
      <c r="AO840" s="1" t="str">
        <f>IF(Table1[[#This Row],[MNT_TOTAL]]&gt;=900,"HIGH VALUE","LOW VALUE")</f>
        <v>LOW VALUE</v>
      </c>
      <c r="AP8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0" s="1"/>
      <c r="AR840" s="1"/>
    </row>
    <row r="841" spans="1:44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31</v>
      </c>
      <c r="X841">
        <v>2579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1029</v>
      </c>
      <c r="AJ841">
        <v>996</v>
      </c>
      <c r="AK841">
        <v>1</v>
      </c>
      <c r="AL841">
        <f t="shared" si="13"/>
        <v>1062</v>
      </c>
      <c r="AM841">
        <f>IF(OR(Table1[[#This Row],[marital_Married]]=1,Table1[[#This Row],[marital_Together]]=1),1,0)</f>
        <v>1</v>
      </c>
      <c r="AN841" t="str">
        <f>IF(Table1[[#This Row],[Income]]&gt;=70000,"HIGH INCOME","LOW INCOME")</f>
        <v>HIGH INCOME</v>
      </c>
      <c r="AO841" s="1" t="str">
        <f>IF(Table1[[#This Row],[MNT_TOTAL]]&gt;=900,"HIGH VALUE","LOW VALUE")</f>
        <v>HIGH VALUE</v>
      </c>
      <c r="AP8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41" s="1"/>
      <c r="AR841" s="1"/>
    </row>
    <row r="842" spans="1:44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51</v>
      </c>
      <c r="X842">
        <v>2313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40</v>
      </c>
      <c r="AJ842">
        <v>40</v>
      </c>
      <c r="AK842">
        <v>0</v>
      </c>
      <c r="AL842">
        <f t="shared" si="13"/>
        <v>40</v>
      </c>
      <c r="AM842">
        <f>IF(OR(Table1[[#This Row],[marital_Married]]=1,Table1[[#This Row],[marital_Together]]=1),1,0)</f>
        <v>1</v>
      </c>
      <c r="AN842" t="str">
        <f>IF(Table1[[#This Row],[Income]]&gt;=70000,"HIGH INCOME","LOW INCOME")</f>
        <v>LOW INCOME</v>
      </c>
      <c r="AO842" s="1" t="str">
        <f>IF(Table1[[#This Row],[MNT_TOTAL]]&gt;=900,"HIGH VALUE","LOW VALUE")</f>
        <v>LOW VALUE</v>
      </c>
      <c r="AP8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2" s="1"/>
      <c r="AR842" s="1"/>
    </row>
    <row r="843" spans="1:44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51</v>
      </c>
      <c r="X843">
        <v>2293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258</v>
      </c>
      <c r="AJ843">
        <v>224</v>
      </c>
      <c r="AK843">
        <v>0</v>
      </c>
      <c r="AL843">
        <f t="shared" si="13"/>
        <v>292</v>
      </c>
      <c r="AM843">
        <f>IF(OR(Table1[[#This Row],[marital_Married]]=1,Table1[[#This Row],[marital_Together]]=1),1,0)</f>
        <v>1</v>
      </c>
      <c r="AN843" t="str">
        <f>IF(Table1[[#This Row],[Income]]&gt;=70000,"HIGH INCOME","LOW INCOME")</f>
        <v>LOW INCOME</v>
      </c>
      <c r="AO843" s="1" t="str">
        <f>IF(Table1[[#This Row],[MNT_TOTAL]]&gt;=900,"HIGH VALUE","LOW VALUE")</f>
        <v>LOW VALUE</v>
      </c>
      <c r="AP8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3" s="1"/>
      <c r="AR843" s="1"/>
    </row>
    <row r="844" spans="1:44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33</v>
      </c>
      <c r="X844">
        <v>2695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10</v>
      </c>
      <c r="AJ844">
        <v>5</v>
      </c>
      <c r="AK844">
        <v>0</v>
      </c>
      <c r="AL844">
        <f t="shared" si="13"/>
        <v>15</v>
      </c>
      <c r="AM844">
        <f>IF(OR(Table1[[#This Row],[marital_Married]]=1,Table1[[#This Row],[marital_Together]]=1),1,0)</f>
        <v>1</v>
      </c>
      <c r="AN844" t="str">
        <f>IF(Table1[[#This Row],[Income]]&gt;=70000,"HIGH INCOME","LOW INCOME")</f>
        <v>LOW INCOME</v>
      </c>
      <c r="AO844" s="1" t="str">
        <f>IF(Table1[[#This Row],[MNT_TOTAL]]&gt;=900,"HIGH VALUE","LOW VALUE")</f>
        <v>LOW VALUE</v>
      </c>
      <c r="AP8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4" s="1"/>
      <c r="AR844" s="1"/>
    </row>
    <row r="845" spans="1:44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31</v>
      </c>
      <c r="X845">
        <v>2792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275</v>
      </c>
      <c r="AJ845">
        <v>209</v>
      </c>
      <c r="AK845">
        <v>0</v>
      </c>
      <c r="AL845">
        <f t="shared" si="13"/>
        <v>341</v>
      </c>
      <c r="AM845">
        <f>IF(OR(Table1[[#This Row],[marital_Married]]=1,Table1[[#This Row],[marital_Together]]=1),1,0)</f>
        <v>1</v>
      </c>
      <c r="AN845" t="str">
        <f>IF(Table1[[#This Row],[Income]]&gt;=70000,"HIGH INCOME","LOW INCOME")</f>
        <v>LOW INCOME</v>
      </c>
      <c r="AO845" s="1" t="str">
        <f>IF(Table1[[#This Row],[MNT_TOTAL]]&gt;=900,"HIGH VALUE","LOW VALUE")</f>
        <v>LOW VALUE</v>
      </c>
      <c r="AP8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5" s="1"/>
      <c r="AR845" s="1"/>
    </row>
    <row r="846" spans="1:44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45</v>
      </c>
      <c r="X846">
        <v>2353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276</v>
      </c>
      <c r="AJ846">
        <v>183</v>
      </c>
      <c r="AK846">
        <v>0</v>
      </c>
      <c r="AL846">
        <f t="shared" si="13"/>
        <v>369</v>
      </c>
      <c r="AM846">
        <f>IF(OR(Table1[[#This Row],[marital_Married]]=1,Table1[[#This Row],[marital_Together]]=1),1,0)</f>
        <v>0</v>
      </c>
      <c r="AN846" t="str">
        <f>IF(Table1[[#This Row],[Income]]&gt;=70000,"HIGH INCOME","LOW INCOME")</f>
        <v>LOW INCOME</v>
      </c>
      <c r="AO846" s="1" t="str">
        <f>IF(Table1[[#This Row],[MNT_TOTAL]]&gt;=900,"HIGH VALUE","LOW VALUE")</f>
        <v>LOW VALUE</v>
      </c>
      <c r="AP8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46" s="1"/>
      <c r="AR846" s="1"/>
    </row>
    <row r="847" spans="1:44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47</v>
      </c>
      <c r="X847">
        <v>2542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386</v>
      </c>
      <c r="AJ847">
        <v>371</v>
      </c>
      <c r="AK847">
        <v>0</v>
      </c>
      <c r="AL847">
        <f t="shared" si="13"/>
        <v>401</v>
      </c>
      <c r="AM847">
        <f>IF(OR(Table1[[#This Row],[marital_Married]]=1,Table1[[#This Row],[marital_Together]]=1),1,0)</f>
        <v>1</v>
      </c>
      <c r="AN847" t="str">
        <f>IF(Table1[[#This Row],[Income]]&gt;=70000,"HIGH INCOME","LOW INCOME")</f>
        <v>LOW INCOME</v>
      </c>
      <c r="AO847" s="1" t="str">
        <f>IF(Table1[[#This Row],[MNT_TOTAL]]&gt;=900,"HIGH VALUE","LOW VALUE")</f>
        <v>LOW VALUE</v>
      </c>
      <c r="AP8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47" s="1"/>
      <c r="AR847" s="1"/>
    </row>
    <row r="848" spans="1:44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2619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386</v>
      </c>
      <c r="AJ848">
        <v>379</v>
      </c>
      <c r="AK848">
        <v>0</v>
      </c>
      <c r="AL848">
        <f t="shared" si="13"/>
        <v>393</v>
      </c>
      <c r="AM848">
        <f>IF(OR(Table1[[#This Row],[marital_Married]]=1,Table1[[#This Row],[marital_Together]]=1),1,0)</f>
        <v>0</v>
      </c>
      <c r="AN848" t="str">
        <f>IF(Table1[[#This Row],[Income]]&gt;=70000,"HIGH INCOME","LOW INCOME")</f>
        <v>LOW INCOME</v>
      </c>
      <c r="AO848" s="1" t="str">
        <f>IF(Table1[[#This Row],[MNT_TOTAL]]&gt;=900,"HIGH VALUE","LOW VALUE")</f>
        <v>LOW VALUE</v>
      </c>
      <c r="AP8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48" s="1"/>
      <c r="AR848" s="1"/>
    </row>
    <row r="849" spans="1:44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34</v>
      </c>
      <c r="X849">
        <v>2437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10</v>
      </c>
      <c r="AJ849">
        <v>10</v>
      </c>
      <c r="AK849">
        <v>0</v>
      </c>
      <c r="AL849">
        <f t="shared" si="13"/>
        <v>10</v>
      </c>
      <c r="AM849">
        <f>IF(OR(Table1[[#This Row],[marital_Married]]=1,Table1[[#This Row],[marital_Together]]=1),1,0)</f>
        <v>0</v>
      </c>
      <c r="AN849" t="str">
        <f>IF(Table1[[#This Row],[Income]]&gt;=70000,"HIGH INCOME","LOW INCOME")</f>
        <v>LOW INCOME</v>
      </c>
      <c r="AO849" s="1" t="str">
        <f>IF(Table1[[#This Row],[MNT_TOTAL]]&gt;=900,"HIGH VALUE","LOW VALUE")</f>
        <v>LOW VALUE</v>
      </c>
      <c r="AP8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49" s="1"/>
      <c r="AR849" s="1"/>
    </row>
    <row r="850" spans="1:44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42</v>
      </c>
      <c r="X850">
        <v>2578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361</v>
      </c>
      <c r="AJ850">
        <v>236</v>
      </c>
      <c r="AK850">
        <v>0</v>
      </c>
      <c r="AL850">
        <f t="shared" si="13"/>
        <v>486</v>
      </c>
      <c r="AM850">
        <f>IF(OR(Table1[[#This Row],[marital_Married]]=1,Table1[[#This Row],[marital_Together]]=1),1,0)</f>
        <v>1</v>
      </c>
      <c r="AN850" t="str">
        <f>IF(Table1[[#This Row],[Income]]&gt;=70000,"HIGH INCOME","LOW INCOME")</f>
        <v>LOW INCOME</v>
      </c>
      <c r="AO850" s="1" t="str">
        <f>IF(Table1[[#This Row],[MNT_TOTAL]]&gt;=900,"HIGH VALUE","LOW VALUE")</f>
        <v>LOW VALUE</v>
      </c>
      <c r="AP8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50" s="1"/>
      <c r="AR850" s="1"/>
    </row>
    <row r="851" spans="1:44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41</v>
      </c>
      <c r="X851">
        <v>2779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57</v>
      </c>
      <c r="AJ851">
        <v>45</v>
      </c>
      <c r="AK851">
        <v>0</v>
      </c>
      <c r="AL851">
        <f t="shared" si="13"/>
        <v>69</v>
      </c>
      <c r="AM851">
        <f>IF(OR(Table1[[#This Row],[marital_Married]]=1,Table1[[#This Row],[marital_Together]]=1),1,0)</f>
        <v>1</v>
      </c>
      <c r="AN851" t="str">
        <f>IF(Table1[[#This Row],[Income]]&gt;=70000,"HIGH INCOME","LOW INCOME")</f>
        <v>LOW INCOME</v>
      </c>
      <c r="AO851" s="1" t="str">
        <f>IF(Table1[[#This Row],[MNT_TOTAL]]&gt;=900,"HIGH VALUE","LOW VALUE")</f>
        <v>LOW VALUE</v>
      </c>
      <c r="AP8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51" s="1"/>
      <c r="AR851" s="1"/>
    </row>
    <row r="852" spans="1:44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37</v>
      </c>
      <c r="X852">
        <v>2433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1727</v>
      </c>
      <c r="AJ852">
        <v>1727</v>
      </c>
      <c r="AK852">
        <v>2</v>
      </c>
      <c r="AL852">
        <f t="shared" si="13"/>
        <v>1727</v>
      </c>
      <c r="AM852">
        <f>IF(OR(Table1[[#This Row],[marital_Married]]=1,Table1[[#This Row],[marital_Together]]=1),1,0)</f>
        <v>1</v>
      </c>
      <c r="AN852" t="str">
        <f>IF(Table1[[#This Row],[Income]]&gt;=70000,"HIGH INCOME","LOW INCOME")</f>
        <v>HIGH INCOME</v>
      </c>
      <c r="AO852" s="1" t="str">
        <f>IF(Table1[[#This Row],[MNT_TOTAL]]&gt;=900,"HIGH VALUE","LOW VALUE")</f>
        <v>HIGH VALUE</v>
      </c>
      <c r="AP8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52" s="1"/>
      <c r="AR852" s="1"/>
    </row>
    <row r="853" spans="1:44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61</v>
      </c>
      <c r="X853">
        <v>2333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957</v>
      </c>
      <c r="AJ853">
        <v>919</v>
      </c>
      <c r="AK853">
        <v>1</v>
      </c>
      <c r="AL853">
        <f t="shared" si="13"/>
        <v>995</v>
      </c>
      <c r="AM853">
        <f>IF(OR(Table1[[#This Row],[marital_Married]]=1,Table1[[#This Row],[marital_Together]]=1),1,0)</f>
        <v>0</v>
      </c>
      <c r="AN853" t="str">
        <f>IF(Table1[[#This Row],[Income]]&gt;=70000,"HIGH INCOME","LOW INCOME")</f>
        <v>LOW INCOME</v>
      </c>
      <c r="AO853" s="1" t="str">
        <f>IF(Table1[[#This Row],[MNT_TOTAL]]&gt;=900,"HIGH VALUE","LOW VALUE")</f>
        <v>HIGH VALUE</v>
      </c>
      <c r="AP8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53" s="1"/>
      <c r="AR853" s="1"/>
    </row>
    <row r="854" spans="1:44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44</v>
      </c>
      <c r="X854">
        <v>2177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41</v>
      </c>
      <c r="AJ854">
        <v>37</v>
      </c>
      <c r="AK854">
        <v>0</v>
      </c>
      <c r="AL854">
        <f t="shared" si="13"/>
        <v>45</v>
      </c>
      <c r="AM854">
        <f>IF(OR(Table1[[#This Row],[marital_Married]]=1,Table1[[#This Row],[marital_Together]]=1),1,0)</f>
        <v>1</v>
      </c>
      <c r="AN854" t="str">
        <f>IF(Table1[[#This Row],[Income]]&gt;=70000,"HIGH INCOME","LOW INCOME")</f>
        <v>LOW INCOME</v>
      </c>
      <c r="AO854" s="1" t="str">
        <f>IF(Table1[[#This Row],[MNT_TOTAL]]&gt;=900,"HIGH VALUE","LOW VALUE")</f>
        <v>LOW VALUE</v>
      </c>
      <c r="AP8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54" s="1"/>
      <c r="AR854" s="1"/>
    </row>
    <row r="855" spans="1:44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39</v>
      </c>
      <c r="X855">
        <v>2245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157</v>
      </c>
      <c r="AJ855">
        <v>132</v>
      </c>
      <c r="AK855">
        <v>0</v>
      </c>
      <c r="AL855">
        <f t="shared" si="13"/>
        <v>182</v>
      </c>
      <c r="AM855">
        <f>IF(OR(Table1[[#This Row],[marital_Married]]=1,Table1[[#This Row],[marital_Together]]=1),1,0)</f>
        <v>0</v>
      </c>
      <c r="AN855" t="str">
        <f>IF(Table1[[#This Row],[Income]]&gt;=70000,"HIGH INCOME","LOW INCOME")</f>
        <v>LOW INCOME</v>
      </c>
      <c r="AO855" s="1" t="str">
        <f>IF(Table1[[#This Row],[MNT_TOTAL]]&gt;=900,"HIGH VALUE","LOW VALUE")</f>
        <v>LOW VALUE</v>
      </c>
      <c r="AP8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55" s="1"/>
      <c r="AR855" s="1"/>
    </row>
    <row r="856" spans="1:44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42</v>
      </c>
      <c r="X856">
        <v>2425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847</v>
      </c>
      <c r="AJ856">
        <v>705</v>
      </c>
      <c r="AK856">
        <v>0</v>
      </c>
      <c r="AL856">
        <f t="shared" si="13"/>
        <v>989</v>
      </c>
      <c r="AM856">
        <f>IF(OR(Table1[[#This Row],[marital_Married]]=1,Table1[[#This Row],[marital_Together]]=1),1,0)</f>
        <v>1</v>
      </c>
      <c r="AN856" t="str">
        <f>IF(Table1[[#This Row],[Income]]&gt;=70000,"HIGH INCOME","LOW INCOME")</f>
        <v>LOW INCOME</v>
      </c>
      <c r="AO856" s="1" t="str">
        <f>IF(Table1[[#This Row],[MNT_TOTAL]]&gt;=900,"HIGH VALUE","LOW VALUE")</f>
        <v>HIGH VALUE</v>
      </c>
      <c r="AP8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56" s="1"/>
      <c r="AR856" s="1"/>
    </row>
    <row r="857" spans="1:44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67</v>
      </c>
      <c r="X857">
        <v>2444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1644</v>
      </c>
      <c r="AJ857">
        <v>1611</v>
      </c>
      <c r="AK857">
        <v>3</v>
      </c>
      <c r="AL857">
        <f t="shared" si="13"/>
        <v>1677</v>
      </c>
      <c r="AM857">
        <f>IF(OR(Table1[[#This Row],[marital_Married]]=1,Table1[[#This Row],[marital_Together]]=1),1,0)</f>
        <v>1</v>
      </c>
      <c r="AN857" t="str">
        <f>IF(Table1[[#This Row],[Income]]&gt;=70000,"HIGH INCOME","LOW INCOME")</f>
        <v>HIGH INCOME</v>
      </c>
      <c r="AO857" s="1" t="str">
        <f>IF(Table1[[#This Row],[MNT_TOTAL]]&gt;=900,"HIGH VALUE","LOW VALUE")</f>
        <v>HIGH VALUE</v>
      </c>
      <c r="AP8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57" s="1"/>
      <c r="AR857" s="1"/>
    </row>
    <row r="858" spans="1:44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49</v>
      </c>
      <c r="X858">
        <v>2523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497</v>
      </c>
      <c r="AJ858">
        <v>399</v>
      </c>
      <c r="AK858">
        <v>0</v>
      </c>
      <c r="AL858">
        <f t="shared" si="13"/>
        <v>595</v>
      </c>
      <c r="AM858">
        <f>IF(OR(Table1[[#This Row],[marital_Married]]=1,Table1[[#This Row],[marital_Together]]=1),1,0)</f>
        <v>0</v>
      </c>
      <c r="AN858" t="str">
        <f>IF(Table1[[#This Row],[Income]]&gt;=70000,"HIGH INCOME","LOW INCOME")</f>
        <v>LOW INCOME</v>
      </c>
      <c r="AO858" s="1" t="str">
        <f>IF(Table1[[#This Row],[MNT_TOTAL]]&gt;=900,"HIGH VALUE","LOW VALUE")</f>
        <v>LOW VALUE</v>
      </c>
      <c r="AP8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58" s="1"/>
      <c r="AR858" s="1"/>
    </row>
    <row r="859" spans="1:44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37</v>
      </c>
      <c r="X859">
        <v>2659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120</v>
      </c>
      <c r="AJ859">
        <v>84</v>
      </c>
      <c r="AK859">
        <v>0</v>
      </c>
      <c r="AL859">
        <f t="shared" si="13"/>
        <v>156</v>
      </c>
      <c r="AM859">
        <f>IF(OR(Table1[[#This Row],[marital_Married]]=1,Table1[[#This Row],[marital_Together]]=1),1,0)</f>
        <v>1</v>
      </c>
      <c r="AN859" t="str">
        <f>IF(Table1[[#This Row],[Income]]&gt;=70000,"HIGH INCOME","LOW INCOME")</f>
        <v>LOW INCOME</v>
      </c>
      <c r="AO859" s="1" t="str">
        <f>IF(Table1[[#This Row],[MNT_TOTAL]]&gt;=900,"HIGH VALUE","LOW VALUE")</f>
        <v>LOW VALUE</v>
      </c>
      <c r="AP8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59" s="1"/>
      <c r="AR859" s="1"/>
    </row>
    <row r="860" spans="1:44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64</v>
      </c>
      <c r="X860">
        <v>2244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1158</v>
      </c>
      <c r="AJ860">
        <v>1090</v>
      </c>
      <c r="AK860">
        <v>0</v>
      </c>
      <c r="AL860">
        <f t="shared" si="13"/>
        <v>1226</v>
      </c>
      <c r="AM860">
        <f>IF(OR(Table1[[#This Row],[marital_Married]]=1,Table1[[#This Row],[marital_Together]]=1),1,0)</f>
        <v>0</v>
      </c>
      <c r="AN860" t="str">
        <f>IF(Table1[[#This Row],[Income]]&gt;=70000,"HIGH INCOME","LOW INCOME")</f>
        <v>HIGH INCOME</v>
      </c>
      <c r="AO860" s="1" t="str">
        <f>IF(Table1[[#This Row],[MNT_TOTAL]]&gt;=900,"HIGH VALUE","LOW VALUE")</f>
        <v>HIGH VALUE</v>
      </c>
      <c r="AP8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60" s="1"/>
      <c r="AR860" s="1"/>
    </row>
    <row r="861" spans="1:44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42</v>
      </c>
      <c r="X861">
        <v>2687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121</v>
      </c>
      <c r="AJ861">
        <v>114</v>
      </c>
      <c r="AK861">
        <v>0</v>
      </c>
      <c r="AL861">
        <f t="shared" si="13"/>
        <v>128</v>
      </c>
      <c r="AM861">
        <f>IF(OR(Table1[[#This Row],[marital_Married]]=1,Table1[[#This Row],[marital_Together]]=1),1,0)</f>
        <v>1</v>
      </c>
      <c r="AN861" t="str">
        <f>IF(Table1[[#This Row],[Income]]&gt;=70000,"HIGH INCOME","LOW INCOME")</f>
        <v>LOW INCOME</v>
      </c>
      <c r="AO861" s="1" t="str">
        <f>IF(Table1[[#This Row],[MNT_TOTAL]]&gt;=900,"HIGH VALUE","LOW VALUE")</f>
        <v>LOW VALUE</v>
      </c>
      <c r="AP8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61" s="1"/>
      <c r="AR861" s="1"/>
    </row>
    <row r="862" spans="1:44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48</v>
      </c>
      <c r="X862">
        <v>2298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46</v>
      </c>
      <c r="AJ862">
        <v>6</v>
      </c>
      <c r="AK862">
        <v>1</v>
      </c>
      <c r="AL862">
        <f t="shared" si="13"/>
        <v>86</v>
      </c>
      <c r="AM862">
        <f>IF(OR(Table1[[#This Row],[marital_Married]]=1,Table1[[#This Row],[marital_Together]]=1),1,0)</f>
        <v>0</v>
      </c>
      <c r="AN862" t="str">
        <f>IF(Table1[[#This Row],[Income]]&gt;=70000,"HIGH INCOME","LOW INCOME")</f>
        <v>LOW INCOME</v>
      </c>
      <c r="AO862" s="1" t="str">
        <f>IF(Table1[[#This Row],[MNT_TOTAL]]&gt;=900,"HIGH VALUE","LOW VALUE")</f>
        <v>LOW VALUE</v>
      </c>
      <c r="AP8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62" s="1"/>
      <c r="AR862" s="1"/>
    </row>
    <row r="863" spans="1:44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45</v>
      </c>
      <c r="X863">
        <v>2780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47</v>
      </c>
      <c r="AJ863">
        <v>26</v>
      </c>
      <c r="AK863">
        <v>0</v>
      </c>
      <c r="AL863">
        <f t="shared" si="13"/>
        <v>68</v>
      </c>
      <c r="AM863">
        <f>IF(OR(Table1[[#This Row],[marital_Married]]=1,Table1[[#This Row],[marital_Together]]=1),1,0)</f>
        <v>1</v>
      </c>
      <c r="AN863" t="str">
        <f>IF(Table1[[#This Row],[Income]]&gt;=70000,"HIGH INCOME","LOW INCOME")</f>
        <v>LOW INCOME</v>
      </c>
      <c r="AO863" s="1" t="str">
        <f>IF(Table1[[#This Row],[MNT_TOTAL]]&gt;=900,"HIGH VALUE","LOW VALUE")</f>
        <v>LOW VALUE</v>
      </c>
      <c r="AP8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63" s="1"/>
      <c r="AR863" s="1"/>
    </row>
    <row r="864" spans="1:44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45</v>
      </c>
      <c r="X864">
        <v>2500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15</v>
      </c>
      <c r="AJ864">
        <v>14</v>
      </c>
      <c r="AK864">
        <v>0</v>
      </c>
      <c r="AL864">
        <f t="shared" si="13"/>
        <v>16</v>
      </c>
      <c r="AM864">
        <f>IF(OR(Table1[[#This Row],[marital_Married]]=1,Table1[[#This Row],[marital_Together]]=1),1,0)</f>
        <v>0</v>
      </c>
      <c r="AN864" t="str">
        <f>IF(Table1[[#This Row],[Income]]&gt;=70000,"HIGH INCOME","LOW INCOME")</f>
        <v>LOW INCOME</v>
      </c>
      <c r="AO864" s="1" t="str">
        <f>IF(Table1[[#This Row],[MNT_TOTAL]]&gt;=900,"HIGH VALUE","LOW VALUE")</f>
        <v>LOW VALUE</v>
      </c>
      <c r="AP8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64" s="1"/>
      <c r="AR864" s="1"/>
    </row>
    <row r="865" spans="1:44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39</v>
      </c>
      <c r="X865">
        <v>2169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52</v>
      </c>
      <c r="AJ865">
        <v>49</v>
      </c>
      <c r="AK865">
        <v>0</v>
      </c>
      <c r="AL865">
        <f t="shared" si="13"/>
        <v>55</v>
      </c>
      <c r="AM865">
        <f>IF(OR(Table1[[#This Row],[marital_Married]]=1,Table1[[#This Row],[marital_Together]]=1),1,0)</f>
        <v>1</v>
      </c>
      <c r="AN865" t="str">
        <f>IF(Table1[[#This Row],[Income]]&gt;=70000,"HIGH INCOME","LOW INCOME")</f>
        <v>LOW INCOME</v>
      </c>
      <c r="AO865" s="1" t="str">
        <f>IF(Table1[[#This Row],[MNT_TOTAL]]&gt;=900,"HIGH VALUE","LOW VALUE")</f>
        <v>LOW VALUE</v>
      </c>
      <c r="AP8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65" s="1"/>
      <c r="AR865" s="1"/>
    </row>
    <row r="866" spans="1:44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48</v>
      </c>
      <c r="X866">
        <v>2814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2074</v>
      </c>
      <c r="AJ866">
        <v>2034</v>
      </c>
      <c r="AK866">
        <v>0</v>
      </c>
      <c r="AL866">
        <f t="shared" si="13"/>
        <v>2114</v>
      </c>
      <c r="AM866">
        <f>IF(OR(Table1[[#This Row],[marital_Married]]=1,Table1[[#This Row],[marital_Together]]=1),1,0)</f>
        <v>0</v>
      </c>
      <c r="AN866" t="str">
        <f>IF(Table1[[#This Row],[Income]]&gt;=70000,"HIGH INCOME","LOW INCOME")</f>
        <v>HIGH INCOME</v>
      </c>
      <c r="AO866" s="1" t="str">
        <f>IF(Table1[[#This Row],[MNT_TOTAL]]&gt;=900,"HIGH VALUE","LOW VALUE")</f>
        <v>HIGH VALUE</v>
      </c>
      <c r="AP8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66" s="1"/>
      <c r="AR866" s="1"/>
    </row>
    <row r="867" spans="1:44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50</v>
      </c>
      <c r="X867">
        <v>2521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1889</v>
      </c>
      <c r="AJ867">
        <v>1760</v>
      </c>
      <c r="AK867">
        <v>0</v>
      </c>
      <c r="AL867">
        <f t="shared" si="13"/>
        <v>2018</v>
      </c>
      <c r="AM867">
        <f>IF(OR(Table1[[#This Row],[marital_Married]]=1,Table1[[#This Row],[marital_Together]]=1),1,0)</f>
        <v>1</v>
      </c>
      <c r="AN867" t="str">
        <f>IF(Table1[[#This Row],[Income]]&gt;=70000,"HIGH INCOME","LOW INCOME")</f>
        <v>HIGH INCOME</v>
      </c>
      <c r="AO867" s="1" t="str">
        <f>IF(Table1[[#This Row],[MNT_TOTAL]]&gt;=900,"HIGH VALUE","LOW VALUE")</f>
        <v>HIGH VALUE</v>
      </c>
      <c r="AP8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67" s="1"/>
      <c r="AR867" s="1"/>
    </row>
    <row r="868" spans="1:44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67</v>
      </c>
      <c r="X868">
        <v>2739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251</v>
      </c>
      <c r="AJ868">
        <v>239</v>
      </c>
      <c r="AK868">
        <v>0</v>
      </c>
      <c r="AL868">
        <f t="shared" si="13"/>
        <v>263</v>
      </c>
      <c r="AM868">
        <f>IF(OR(Table1[[#This Row],[marital_Married]]=1,Table1[[#This Row],[marital_Together]]=1),1,0)</f>
        <v>0</v>
      </c>
      <c r="AN868" t="str">
        <f>IF(Table1[[#This Row],[Income]]&gt;=70000,"HIGH INCOME","LOW INCOME")</f>
        <v>LOW INCOME</v>
      </c>
      <c r="AO868" s="1" t="str">
        <f>IF(Table1[[#This Row],[MNT_TOTAL]]&gt;=900,"HIGH VALUE","LOW VALUE")</f>
        <v>LOW VALUE</v>
      </c>
      <c r="AP8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68" s="1"/>
      <c r="AR868" s="1"/>
    </row>
    <row r="869" spans="1:44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61</v>
      </c>
      <c r="X869">
        <v>2359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50</v>
      </c>
      <c r="AJ869">
        <v>45</v>
      </c>
      <c r="AK869">
        <v>0</v>
      </c>
      <c r="AL869">
        <f t="shared" si="13"/>
        <v>55</v>
      </c>
      <c r="AM869">
        <f>IF(OR(Table1[[#This Row],[marital_Married]]=1,Table1[[#This Row],[marital_Together]]=1),1,0)</f>
        <v>1</v>
      </c>
      <c r="AN869" t="str">
        <f>IF(Table1[[#This Row],[Income]]&gt;=70000,"HIGH INCOME","LOW INCOME")</f>
        <v>LOW INCOME</v>
      </c>
      <c r="AO869" s="1" t="str">
        <f>IF(Table1[[#This Row],[MNT_TOTAL]]&gt;=900,"HIGH VALUE","LOW VALUE")</f>
        <v>LOW VALUE</v>
      </c>
      <c r="AP8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69" s="1"/>
      <c r="AR869" s="1"/>
    </row>
    <row r="870" spans="1:44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58</v>
      </c>
      <c r="X870">
        <v>2613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506</v>
      </c>
      <c r="AJ870">
        <v>448</v>
      </c>
      <c r="AK870">
        <v>0</v>
      </c>
      <c r="AL870">
        <f t="shared" si="13"/>
        <v>564</v>
      </c>
      <c r="AM870">
        <f>IF(OR(Table1[[#This Row],[marital_Married]]=1,Table1[[#This Row],[marital_Together]]=1),1,0)</f>
        <v>1</v>
      </c>
      <c r="AN870" t="str">
        <f>IF(Table1[[#This Row],[Income]]&gt;=70000,"HIGH INCOME","LOW INCOME")</f>
        <v>LOW INCOME</v>
      </c>
      <c r="AO870" s="1" t="str">
        <f>IF(Table1[[#This Row],[MNT_TOTAL]]&gt;=900,"HIGH VALUE","LOW VALUE")</f>
        <v>LOW VALUE</v>
      </c>
      <c r="AP8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70" s="1"/>
      <c r="AR870" s="1"/>
    </row>
    <row r="871" spans="1:44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42</v>
      </c>
      <c r="X871">
        <v>2354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1233</v>
      </c>
      <c r="AJ871">
        <v>1185</v>
      </c>
      <c r="AK871">
        <v>0</v>
      </c>
      <c r="AL871">
        <f t="shared" si="13"/>
        <v>1281</v>
      </c>
      <c r="AM871">
        <f>IF(OR(Table1[[#This Row],[marital_Married]]=1,Table1[[#This Row],[marital_Together]]=1),1,0)</f>
        <v>0</v>
      </c>
      <c r="AN871" t="str">
        <f>IF(Table1[[#This Row],[Income]]&gt;=70000,"HIGH INCOME","LOW INCOME")</f>
        <v>LOW INCOME</v>
      </c>
      <c r="AO871" s="1" t="str">
        <f>IF(Table1[[#This Row],[MNT_TOTAL]]&gt;=900,"HIGH VALUE","LOW VALUE")</f>
        <v>HIGH VALUE</v>
      </c>
      <c r="AP8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71" s="1"/>
      <c r="AR871" s="1"/>
    </row>
    <row r="872" spans="1:44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47</v>
      </c>
      <c r="X872">
        <v>2664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63</v>
      </c>
      <c r="AJ872">
        <v>43</v>
      </c>
      <c r="AK872">
        <v>1</v>
      </c>
      <c r="AL872">
        <f t="shared" si="13"/>
        <v>83</v>
      </c>
      <c r="AM872">
        <f>IF(OR(Table1[[#This Row],[marital_Married]]=1,Table1[[#This Row],[marital_Together]]=1),1,0)</f>
        <v>1</v>
      </c>
      <c r="AN872" t="str">
        <f>IF(Table1[[#This Row],[Income]]&gt;=70000,"HIGH INCOME","LOW INCOME")</f>
        <v>LOW INCOME</v>
      </c>
      <c r="AO872" s="1" t="str">
        <f>IF(Table1[[#This Row],[MNT_TOTAL]]&gt;=900,"HIGH VALUE","LOW VALUE")</f>
        <v>LOW VALUE</v>
      </c>
      <c r="AP8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72" s="1"/>
      <c r="AR872" s="1"/>
    </row>
    <row r="873" spans="1:44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55</v>
      </c>
      <c r="X873">
        <v>2818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297</v>
      </c>
      <c r="AJ873">
        <v>241</v>
      </c>
      <c r="AK873">
        <v>0</v>
      </c>
      <c r="AL873">
        <f t="shared" si="13"/>
        <v>353</v>
      </c>
      <c r="AM873">
        <f>IF(OR(Table1[[#This Row],[marital_Married]]=1,Table1[[#This Row],[marital_Together]]=1),1,0)</f>
        <v>0</v>
      </c>
      <c r="AN873" t="str">
        <f>IF(Table1[[#This Row],[Income]]&gt;=70000,"HIGH INCOME","LOW INCOME")</f>
        <v>LOW INCOME</v>
      </c>
      <c r="AO873" s="1" t="str">
        <f>IF(Table1[[#This Row],[MNT_TOTAL]]&gt;=900,"HIGH VALUE","LOW VALUE")</f>
        <v>LOW VALUE</v>
      </c>
      <c r="AP8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73" s="1"/>
      <c r="AR873" s="1"/>
    </row>
    <row r="874" spans="1:44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37</v>
      </c>
      <c r="X874">
        <v>2325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828</v>
      </c>
      <c r="AJ874">
        <v>653</v>
      </c>
      <c r="AK874">
        <v>0</v>
      </c>
      <c r="AL874">
        <f t="shared" si="13"/>
        <v>1003</v>
      </c>
      <c r="AM874">
        <f>IF(OR(Table1[[#This Row],[marital_Married]]=1,Table1[[#This Row],[marital_Together]]=1),1,0)</f>
        <v>1</v>
      </c>
      <c r="AN874" t="str">
        <f>IF(Table1[[#This Row],[Income]]&gt;=70000,"HIGH INCOME","LOW INCOME")</f>
        <v>HIGH INCOME</v>
      </c>
      <c r="AO874" s="1" t="str">
        <f>IF(Table1[[#This Row],[MNT_TOTAL]]&gt;=900,"HIGH VALUE","LOW VALUE")</f>
        <v>HIGH VALUE</v>
      </c>
      <c r="AP8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74" s="1"/>
      <c r="AR874" s="1"/>
    </row>
    <row r="875" spans="1:44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29</v>
      </c>
      <c r="X875">
        <v>2219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12</v>
      </c>
      <c r="AJ875">
        <v>10</v>
      </c>
      <c r="AK875">
        <v>0</v>
      </c>
      <c r="AL875">
        <f t="shared" si="13"/>
        <v>14</v>
      </c>
      <c r="AM875">
        <f>IF(OR(Table1[[#This Row],[marital_Married]]=1,Table1[[#This Row],[marital_Together]]=1),1,0)</f>
        <v>0</v>
      </c>
      <c r="AN875" t="str">
        <f>IF(Table1[[#This Row],[Income]]&gt;=70000,"HIGH INCOME","LOW INCOME")</f>
        <v>LOW INCOME</v>
      </c>
      <c r="AO875" s="1" t="str">
        <f>IF(Table1[[#This Row],[MNT_TOTAL]]&gt;=900,"HIGH VALUE","LOW VALUE")</f>
        <v>LOW VALUE</v>
      </c>
      <c r="AP8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75" s="1"/>
      <c r="AR875" s="1"/>
    </row>
    <row r="876" spans="1:44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77</v>
      </c>
      <c r="X876">
        <v>2672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860</v>
      </c>
      <c r="AJ876">
        <v>818</v>
      </c>
      <c r="AK876">
        <v>1</v>
      </c>
      <c r="AL876">
        <f t="shared" si="13"/>
        <v>902</v>
      </c>
      <c r="AM876">
        <f>IF(OR(Table1[[#This Row],[marital_Married]]=1,Table1[[#This Row],[marital_Together]]=1),1,0)</f>
        <v>0</v>
      </c>
      <c r="AN876" t="str">
        <f>IF(Table1[[#This Row],[Income]]&gt;=70000,"HIGH INCOME","LOW INCOME")</f>
        <v>LOW INCOME</v>
      </c>
      <c r="AO876" s="1" t="str">
        <f>IF(Table1[[#This Row],[MNT_TOTAL]]&gt;=900,"HIGH VALUE","LOW VALUE")</f>
        <v>HIGH VALUE</v>
      </c>
      <c r="AP8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76" s="1"/>
      <c r="AR876" s="1"/>
    </row>
    <row r="877" spans="1:44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48</v>
      </c>
      <c r="X877">
        <v>2723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897</v>
      </c>
      <c r="AJ877">
        <v>655</v>
      </c>
      <c r="AK877">
        <v>0</v>
      </c>
      <c r="AL877">
        <f t="shared" si="13"/>
        <v>1139</v>
      </c>
      <c r="AM877">
        <f>IF(OR(Table1[[#This Row],[marital_Married]]=1,Table1[[#This Row],[marital_Together]]=1),1,0)</f>
        <v>0</v>
      </c>
      <c r="AN877" t="str">
        <f>IF(Table1[[#This Row],[Income]]&gt;=70000,"HIGH INCOME","LOW INCOME")</f>
        <v>LOW INCOME</v>
      </c>
      <c r="AO877" s="1" t="str">
        <f>IF(Table1[[#This Row],[MNT_TOTAL]]&gt;=900,"HIGH VALUE","LOW VALUE")</f>
        <v>HIGH VALUE</v>
      </c>
      <c r="AP8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77" s="1"/>
      <c r="AR877" s="1"/>
    </row>
    <row r="878" spans="1:44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64</v>
      </c>
      <c r="X878">
        <v>2485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662</v>
      </c>
      <c r="AJ878">
        <v>527</v>
      </c>
      <c r="AK878">
        <v>0</v>
      </c>
      <c r="AL878">
        <f t="shared" si="13"/>
        <v>797</v>
      </c>
      <c r="AM878">
        <f>IF(OR(Table1[[#This Row],[marital_Married]]=1,Table1[[#This Row],[marital_Together]]=1),1,0)</f>
        <v>1</v>
      </c>
      <c r="AN878" t="str">
        <f>IF(Table1[[#This Row],[Income]]&gt;=70000,"HIGH INCOME","LOW INCOME")</f>
        <v>LOW INCOME</v>
      </c>
      <c r="AO878" s="1" t="str">
        <f>IF(Table1[[#This Row],[MNT_TOTAL]]&gt;=900,"HIGH VALUE","LOW VALUE")</f>
        <v>LOW VALUE</v>
      </c>
      <c r="AP8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78" s="1"/>
      <c r="AR878" s="1"/>
    </row>
    <row r="879" spans="1:44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62</v>
      </c>
      <c r="X879">
        <v>2316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1577</v>
      </c>
      <c r="AJ879">
        <v>1516</v>
      </c>
      <c r="AK879">
        <v>0</v>
      </c>
      <c r="AL879">
        <f t="shared" si="13"/>
        <v>1638</v>
      </c>
      <c r="AM879">
        <f>IF(OR(Table1[[#This Row],[marital_Married]]=1,Table1[[#This Row],[marital_Together]]=1),1,0)</f>
        <v>0</v>
      </c>
      <c r="AN879" t="str">
        <f>IF(Table1[[#This Row],[Income]]&gt;=70000,"HIGH INCOME","LOW INCOME")</f>
        <v>HIGH INCOME</v>
      </c>
      <c r="AO879" s="1" t="str">
        <f>IF(Table1[[#This Row],[MNT_TOTAL]]&gt;=900,"HIGH VALUE","LOW VALUE")</f>
        <v>HIGH VALUE</v>
      </c>
      <c r="AP8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79" s="1"/>
      <c r="AR879" s="1"/>
    </row>
    <row r="880" spans="1:44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46</v>
      </c>
      <c r="X880">
        <v>2481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398</v>
      </c>
      <c r="AJ880">
        <v>395</v>
      </c>
      <c r="AK880">
        <v>0</v>
      </c>
      <c r="AL880">
        <f t="shared" si="13"/>
        <v>401</v>
      </c>
      <c r="AM880">
        <f>IF(OR(Table1[[#This Row],[marital_Married]]=1,Table1[[#This Row],[marital_Together]]=1),1,0)</f>
        <v>1</v>
      </c>
      <c r="AN880" t="str">
        <f>IF(Table1[[#This Row],[Income]]&gt;=70000,"HIGH INCOME","LOW INCOME")</f>
        <v>LOW INCOME</v>
      </c>
      <c r="AO880" s="1" t="str">
        <f>IF(Table1[[#This Row],[MNT_TOTAL]]&gt;=900,"HIGH VALUE","LOW VALUE")</f>
        <v>LOW VALUE</v>
      </c>
      <c r="AP8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80" s="1"/>
      <c r="AR880" s="1"/>
    </row>
    <row r="881" spans="1:44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34</v>
      </c>
      <c r="X881">
        <v>2409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58</v>
      </c>
      <c r="AJ881">
        <v>32</v>
      </c>
      <c r="AK881">
        <v>0</v>
      </c>
      <c r="AL881">
        <f t="shared" si="13"/>
        <v>84</v>
      </c>
      <c r="AM881">
        <f>IF(OR(Table1[[#This Row],[marital_Married]]=1,Table1[[#This Row],[marital_Together]]=1),1,0)</f>
        <v>0</v>
      </c>
      <c r="AN881" t="str">
        <f>IF(Table1[[#This Row],[Income]]&gt;=70000,"HIGH INCOME","LOW INCOME")</f>
        <v>LOW INCOME</v>
      </c>
      <c r="AO881" s="1" t="str">
        <f>IF(Table1[[#This Row],[MNT_TOTAL]]&gt;=900,"HIGH VALUE","LOW VALUE")</f>
        <v>LOW VALUE</v>
      </c>
      <c r="AP8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81" s="1"/>
      <c r="AR881" s="1"/>
    </row>
    <row r="882" spans="1:44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62</v>
      </c>
      <c r="X882">
        <v>2667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871</v>
      </c>
      <c r="AJ882">
        <v>814</v>
      </c>
      <c r="AK882">
        <v>0</v>
      </c>
      <c r="AL882">
        <f t="shared" si="13"/>
        <v>928</v>
      </c>
      <c r="AM882">
        <f>IF(OR(Table1[[#This Row],[marital_Married]]=1,Table1[[#This Row],[marital_Together]]=1),1,0)</f>
        <v>1</v>
      </c>
      <c r="AN882" t="str">
        <f>IF(Table1[[#This Row],[Income]]&gt;=70000,"HIGH INCOME","LOW INCOME")</f>
        <v>HIGH INCOME</v>
      </c>
      <c r="AO882" s="1" t="str">
        <f>IF(Table1[[#This Row],[MNT_TOTAL]]&gt;=900,"HIGH VALUE","LOW VALUE")</f>
        <v>HIGH VALUE</v>
      </c>
      <c r="AP8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82" s="1"/>
      <c r="AR882" s="1"/>
    </row>
    <row r="883" spans="1:44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50</v>
      </c>
      <c r="X883">
        <v>2476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183</v>
      </c>
      <c r="AJ883">
        <v>163</v>
      </c>
      <c r="AK883">
        <v>0</v>
      </c>
      <c r="AL883">
        <f t="shared" si="13"/>
        <v>203</v>
      </c>
      <c r="AM883">
        <f>IF(OR(Table1[[#This Row],[marital_Married]]=1,Table1[[#This Row],[marital_Together]]=1),1,0)</f>
        <v>0</v>
      </c>
      <c r="AN883" t="str">
        <f>IF(Table1[[#This Row],[Income]]&gt;=70000,"HIGH INCOME","LOW INCOME")</f>
        <v>LOW INCOME</v>
      </c>
      <c r="AO883" s="1" t="str">
        <f>IF(Table1[[#This Row],[MNT_TOTAL]]&gt;=900,"HIGH VALUE","LOW VALUE")</f>
        <v>LOW VALUE</v>
      </c>
      <c r="AP8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83" s="1"/>
      <c r="AR883" s="1"/>
    </row>
    <row r="884" spans="1:44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53</v>
      </c>
      <c r="X884">
        <v>2509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818</v>
      </c>
      <c r="AJ884">
        <v>778</v>
      </c>
      <c r="AK884">
        <v>0</v>
      </c>
      <c r="AL884">
        <f t="shared" si="13"/>
        <v>858</v>
      </c>
      <c r="AM884">
        <f>IF(OR(Table1[[#This Row],[marital_Married]]=1,Table1[[#This Row],[marital_Together]]=1),1,0)</f>
        <v>1</v>
      </c>
      <c r="AN884" t="str">
        <f>IF(Table1[[#This Row],[Income]]&gt;=70000,"HIGH INCOME","LOW INCOME")</f>
        <v>LOW INCOME</v>
      </c>
      <c r="AO884" s="1" t="str">
        <f>IF(Table1[[#This Row],[MNT_TOTAL]]&gt;=900,"HIGH VALUE","LOW VALUE")</f>
        <v>LOW VALUE</v>
      </c>
      <c r="AP8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84" s="1"/>
      <c r="AR884" s="1"/>
    </row>
    <row r="885" spans="1:44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47</v>
      </c>
      <c r="X885">
        <v>2366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313</v>
      </c>
      <c r="AJ885">
        <v>217</v>
      </c>
      <c r="AK885">
        <v>0</v>
      </c>
      <c r="AL885">
        <f t="shared" si="13"/>
        <v>409</v>
      </c>
      <c r="AM885">
        <f>IF(OR(Table1[[#This Row],[marital_Married]]=1,Table1[[#This Row],[marital_Together]]=1),1,0)</f>
        <v>1</v>
      </c>
      <c r="AN885" t="str">
        <f>IF(Table1[[#This Row],[Income]]&gt;=70000,"HIGH INCOME","LOW INCOME")</f>
        <v>LOW INCOME</v>
      </c>
      <c r="AO885" s="1" t="str">
        <f>IF(Table1[[#This Row],[MNT_TOTAL]]&gt;=900,"HIGH VALUE","LOW VALUE")</f>
        <v>LOW VALUE</v>
      </c>
      <c r="AP8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85" s="1"/>
      <c r="AR885" s="1"/>
    </row>
    <row r="886" spans="1:44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51</v>
      </c>
      <c r="X886">
        <v>2621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254</v>
      </c>
      <c r="AJ886">
        <v>226</v>
      </c>
      <c r="AK886">
        <v>0</v>
      </c>
      <c r="AL886">
        <f t="shared" si="13"/>
        <v>282</v>
      </c>
      <c r="AM886">
        <f>IF(OR(Table1[[#This Row],[marital_Married]]=1,Table1[[#This Row],[marital_Together]]=1),1,0)</f>
        <v>1</v>
      </c>
      <c r="AN886" t="str">
        <f>IF(Table1[[#This Row],[Income]]&gt;=70000,"HIGH INCOME","LOW INCOME")</f>
        <v>LOW INCOME</v>
      </c>
      <c r="AO886" s="1" t="str">
        <f>IF(Table1[[#This Row],[MNT_TOTAL]]&gt;=900,"HIGH VALUE","LOW VALUE")</f>
        <v>LOW VALUE</v>
      </c>
      <c r="AP8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86" s="1"/>
      <c r="AR886" s="1"/>
    </row>
    <row r="887" spans="1:44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43</v>
      </c>
      <c r="X887">
        <v>2240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1182</v>
      </c>
      <c r="AJ887">
        <v>941</v>
      </c>
      <c r="AK887">
        <v>0</v>
      </c>
      <c r="AL887">
        <f t="shared" si="13"/>
        <v>1423</v>
      </c>
      <c r="AM887">
        <f>IF(OR(Table1[[#This Row],[marital_Married]]=1,Table1[[#This Row],[marital_Together]]=1),1,0)</f>
        <v>0</v>
      </c>
      <c r="AN887" t="str">
        <f>IF(Table1[[#This Row],[Income]]&gt;=70000,"HIGH INCOME","LOW INCOME")</f>
        <v>HIGH INCOME</v>
      </c>
      <c r="AO887" s="1" t="str">
        <f>IF(Table1[[#This Row],[MNT_TOTAL]]&gt;=900,"HIGH VALUE","LOW VALUE")</f>
        <v>HIGH VALUE</v>
      </c>
      <c r="AP8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87" s="1"/>
      <c r="AR887" s="1"/>
    </row>
    <row r="888" spans="1:44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59</v>
      </c>
      <c r="X888">
        <v>2379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1412</v>
      </c>
      <c r="AJ888">
        <v>1375</v>
      </c>
      <c r="AK888">
        <v>1</v>
      </c>
      <c r="AL888">
        <f t="shared" si="13"/>
        <v>1449</v>
      </c>
      <c r="AM888">
        <f>IF(OR(Table1[[#This Row],[marital_Married]]=1,Table1[[#This Row],[marital_Together]]=1),1,0)</f>
        <v>0</v>
      </c>
      <c r="AN888" t="str">
        <f>IF(Table1[[#This Row],[Income]]&gt;=70000,"HIGH INCOME","LOW INCOME")</f>
        <v>HIGH INCOME</v>
      </c>
      <c r="AO888" s="1" t="str">
        <f>IF(Table1[[#This Row],[MNT_TOTAL]]&gt;=900,"HIGH VALUE","LOW VALUE")</f>
        <v>HIGH VALUE</v>
      </c>
      <c r="AP8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88" s="1"/>
      <c r="AR888" s="1"/>
    </row>
    <row r="889" spans="1:44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49</v>
      </c>
      <c r="X889">
        <v>2368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21</v>
      </c>
      <c r="AJ889">
        <v>14</v>
      </c>
      <c r="AK889">
        <v>0</v>
      </c>
      <c r="AL889">
        <f t="shared" si="13"/>
        <v>28</v>
      </c>
      <c r="AM889">
        <f>IF(OR(Table1[[#This Row],[marital_Married]]=1,Table1[[#This Row],[marital_Together]]=1),1,0)</f>
        <v>0</v>
      </c>
      <c r="AN889" t="str">
        <f>IF(Table1[[#This Row],[Income]]&gt;=70000,"HIGH INCOME","LOW INCOME")</f>
        <v>LOW INCOME</v>
      </c>
      <c r="AO889" s="1" t="str">
        <f>IF(Table1[[#This Row],[MNT_TOTAL]]&gt;=900,"HIGH VALUE","LOW VALUE")</f>
        <v>LOW VALUE</v>
      </c>
      <c r="AP8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89" s="1"/>
      <c r="AR889" s="1"/>
    </row>
    <row r="890" spans="1:44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46</v>
      </c>
      <c r="X890">
        <v>2335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63</v>
      </c>
      <c r="AJ890">
        <v>59</v>
      </c>
      <c r="AK890">
        <v>0</v>
      </c>
      <c r="AL890">
        <f t="shared" si="13"/>
        <v>67</v>
      </c>
      <c r="AM890">
        <f>IF(OR(Table1[[#This Row],[marital_Married]]=1,Table1[[#This Row],[marital_Together]]=1),1,0)</f>
        <v>1</v>
      </c>
      <c r="AN890" t="str">
        <f>IF(Table1[[#This Row],[Income]]&gt;=70000,"HIGH INCOME","LOW INCOME")</f>
        <v>LOW INCOME</v>
      </c>
      <c r="AO890" s="1" t="str">
        <f>IF(Table1[[#This Row],[MNT_TOTAL]]&gt;=900,"HIGH VALUE","LOW VALUE")</f>
        <v>LOW VALUE</v>
      </c>
      <c r="AP8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90" s="1"/>
      <c r="AR890" s="1"/>
    </row>
    <row r="891" spans="1:44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34</v>
      </c>
      <c r="X891">
        <v>2270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187</v>
      </c>
      <c r="AJ891">
        <v>175</v>
      </c>
      <c r="AK891">
        <v>0</v>
      </c>
      <c r="AL891">
        <f t="shared" si="13"/>
        <v>199</v>
      </c>
      <c r="AM891">
        <f>IF(OR(Table1[[#This Row],[marital_Married]]=1,Table1[[#This Row],[marital_Together]]=1),1,0)</f>
        <v>1</v>
      </c>
      <c r="AN891" t="str">
        <f>IF(Table1[[#This Row],[Income]]&gt;=70000,"HIGH INCOME","LOW INCOME")</f>
        <v>LOW INCOME</v>
      </c>
      <c r="AO891" s="1" t="str">
        <f>IF(Table1[[#This Row],[MNT_TOTAL]]&gt;=900,"HIGH VALUE","LOW VALUE")</f>
        <v>LOW VALUE</v>
      </c>
      <c r="AP8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91" s="1"/>
      <c r="AR891" s="1"/>
    </row>
    <row r="892" spans="1:44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2524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1425</v>
      </c>
      <c r="AJ892">
        <v>1397</v>
      </c>
      <c r="AK892">
        <v>0</v>
      </c>
      <c r="AL892">
        <f t="shared" si="13"/>
        <v>1453</v>
      </c>
      <c r="AM892">
        <f>IF(OR(Table1[[#This Row],[marital_Married]]=1,Table1[[#This Row],[marital_Together]]=1),1,0)</f>
        <v>0</v>
      </c>
      <c r="AN892" t="str">
        <f>IF(Table1[[#This Row],[Income]]&gt;=70000,"HIGH INCOME","LOW INCOME")</f>
        <v>HIGH INCOME</v>
      </c>
      <c r="AO892" s="1" t="str">
        <f>IF(Table1[[#This Row],[MNT_TOTAL]]&gt;=900,"HIGH VALUE","LOW VALUE")</f>
        <v>HIGH VALUE</v>
      </c>
      <c r="AP8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92" s="1"/>
      <c r="AR892" s="1"/>
    </row>
    <row r="893" spans="1:44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28</v>
      </c>
      <c r="X893">
        <v>2393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1229</v>
      </c>
      <c r="AJ893">
        <v>1205</v>
      </c>
      <c r="AK893">
        <v>0</v>
      </c>
      <c r="AL893">
        <f t="shared" si="13"/>
        <v>1253</v>
      </c>
      <c r="AM893">
        <f>IF(OR(Table1[[#This Row],[marital_Married]]=1,Table1[[#This Row],[marital_Together]]=1),1,0)</f>
        <v>1</v>
      </c>
      <c r="AN893" t="str">
        <f>IF(Table1[[#This Row],[Income]]&gt;=70000,"HIGH INCOME","LOW INCOME")</f>
        <v>HIGH INCOME</v>
      </c>
      <c r="AO893" s="1" t="str">
        <f>IF(Table1[[#This Row],[MNT_TOTAL]]&gt;=900,"HIGH VALUE","LOW VALUE")</f>
        <v>HIGH VALUE</v>
      </c>
      <c r="AP8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93" s="1"/>
      <c r="AR893" s="1"/>
    </row>
    <row r="894" spans="1:44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57</v>
      </c>
      <c r="X894">
        <v>2679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1024</v>
      </c>
      <c r="AJ894">
        <v>850</v>
      </c>
      <c r="AK894">
        <v>0</v>
      </c>
      <c r="AL894">
        <f t="shared" si="13"/>
        <v>1198</v>
      </c>
      <c r="AM894">
        <f>IF(OR(Table1[[#This Row],[marital_Married]]=1,Table1[[#This Row],[marital_Together]]=1),1,0)</f>
        <v>0</v>
      </c>
      <c r="AN894" t="str">
        <f>IF(Table1[[#This Row],[Income]]&gt;=70000,"HIGH INCOME","LOW INCOME")</f>
        <v>LOW INCOME</v>
      </c>
      <c r="AO894" s="1" t="str">
        <f>IF(Table1[[#This Row],[MNT_TOTAL]]&gt;=900,"HIGH VALUE","LOW VALUE")</f>
        <v>HIGH VALUE</v>
      </c>
      <c r="AP8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94" s="1"/>
      <c r="AR894" s="1"/>
    </row>
    <row r="895" spans="1:44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48</v>
      </c>
      <c r="X895">
        <v>2509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150</v>
      </c>
      <c r="AJ895">
        <v>122</v>
      </c>
      <c r="AK895">
        <v>0</v>
      </c>
      <c r="AL895">
        <f t="shared" si="13"/>
        <v>178</v>
      </c>
      <c r="AM895">
        <f>IF(OR(Table1[[#This Row],[marital_Married]]=1,Table1[[#This Row],[marital_Together]]=1),1,0)</f>
        <v>1</v>
      </c>
      <c r="AN895" t="str">
        <f>IF(Table1[[#This Row],[Income]]&gt;=70000,"HIGH INCOME","LOW INCOME")</f>
        <v>LOW INCOME</v>
      </c>
      <c r="AO895" s="1" t="str">
        <f>IF(Table1[[#This Row],[MNT_TOTAL]]&gt;=900,"HIGH VALUE","LOW VALUE")</f>
        <v>LOW VALUE</v>
      </c>
      <c r="AP8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895" s="1"/>
      <c r="AR895" s="1"/>
    </row>
    <row r="896" spans="1:44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26</v>
      </c>
      <c r="X896">
        <v>2732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1966</v>
      </c>
      <c r="AJ896">
        <v>1942</v>
      </c>
      <c r="AK896">
        <v>1</v>
      </c>
      <c r="AL896">
        <f t="shared" si="13"/>
        <v>1990</v>
      </c>
      <c r="AM896">
        <f>IF(OR(Table1[[#This Row],[marital_Married]]=1,Table1[[#This Row],[marital_Together]]=1),1,0)</f>
        <v>0</v>
      </c>
      <c r="AN896" t="str">
        <f>IF(Table1[[#This Row],[Income]]&gt;=70000,"HIGH INCOME","LOW INCOME")</f>
        <v>HIGH INCOME</v>
      </c>
      <c r="AO896" s="1" t="str">
        <f>IF(Table1[[#This Row],[MNT_TOTAL]]&gt;=900,"HIGH VALUE","LOW VALUE")</f>
        <v>HIGH VALUE</v>
      </c>
      <c r="AP8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896" s="1"/>
      <c r="AR896" s="1"/>
    </row>
    <row r="897" spans="1:44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66</v>
      </c>
      <c r="X897">
        <v>2573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923</v>
      </c>
      <c r="AJ897">
        <v>870</v>
      </c>
      <c r="AK897">
        <v>0</v>
      </c>
      <c r="AL897">
        <f t="shared" si="13"/>
        <v>976</v>
      </c>
      <c r="AM897">
        <f>IF(OR(Table1[[#This Row],[marital_Married]]=1,Table1[[#This Row],[marital_Together]]=1),1,0)</f>
        <v>1</v>
      </c>
      <c r="AN897" t="str">
        <f>IF(Table1[[#This Row],[Income]]&gt;=70000,"HIGH INCOME","LOW INCOME")</f>
        <v>LOW INCOME</v>
      </c>
      <c r="AO897" s="1" t="str">
        <f>IF(Table1[[#This Row],[MNT_TOTAL]]&gt;=900,"HIGH VALUE","LOW VALUE")</f>
        <v>HIGH VALUE</v>
      </c>
      <c r="AP8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897" s="1"/>
      <c r="AR897" s="1"/>
    </row>
    <row r="898" spans="1:44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60</v>
      </c>
      <c r="X898">
        <v>2344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973</v>
      </c>
      <c r="AJ898">
        <v>945</v>
      </c>
      <c r="AK898">
        <v>0</v>
      </c>
      <c r="AL898">
        <f t="shared" ref="AL898:AL961" si="14">SUM(E898:J898)</f>
        <v>1001</v>
      </c>
      <c r="AM898">
        <f>IF(OR(Table1[[#This Row],[marital_Married]]=1,Table1[[#This Row],[marital_Together]]=1),1,0)</f>
        <v>1</v>
      </c>
      <c r="AN898" t="str">
        <f>IF(Table1[[#This Row],[Income]]&gt;=70000,"HIGH INCOME","LOW INCOME")</f>
        <v>HIGH INCOME</v>
      </c>
      <c r="AO898" s="1" t="str">
        <f>IF(Table1[[#This Row],[MNT_TOTAL]]&gt;=900,"HIGH VALUE","LOW VALUE")</f>
        <v>HIGH VALUE</v>
      </c>
      <c r="AP8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98" s="1"/>
      <c r="AR898" s="1"/>
    </row>
    <row r="899" spans="1:44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38</v>
      </c>
      <c r="X899">
        <v>2485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1919</v>
      </c>
      <c r="AJ899">
        <v>1919</v>
      </c>
      <c r="AK899">
        <v>2</v>
      </c>
      <c r="AL899">
        <f t="shared" si="14"/>
        <v>1919</v>
      </c>
      <c r="AM899">
        <f>IF(OR(Table1[[#This Row],[marital_Married]]=1,Table1[[#This Row],[marital_Together]]=1),1,0)</f>
        <v>1</v>
      </c>
      <c r="AN899" t="str">
        <f>IF(Table1[[#This Row],[Income]]&gt;=70000,"HIGH INCOME","LOW INCOME")</f>
        <v>HIGH INCOME</v>
      </c>
      <c r="AO899" s="1" t="str">
        <f>IF(Table1[[#This Row],[MNT_TOTAL]]&gt;=900,"HIGH VALUE","LOW VALUE")</f>
        <v>HIGH VALUE</v>
      </c>
      <c r="AP8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899" s="1"/>
      <c r="AR899" s="1"/>
    </row>
    <row r="900" spans="1:44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66</v>
      </c>
      <c r="X900">
        <v>2383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303</v>
      </c>
      <c r="AJ900">
        <v>256</v>
      </c>
      <c r="AK900">
        <v>0</v>
      </c>
      <c r="AL900">
        <f t="shared" si="14"/>
        <v>350</v>
      </c>
      <c r="AM900">
        <f>IF(OR(Table1[[#This Row],[marital_Married]]=1,Table1[[#This Row],[marital_Together]]=1),1,0)</f>
        <v>0</v>
      </c>
      <c r="AN900" t="str">
        <f>IF(Table1[[#This Row],[Income]]&gt;=70000,"HIGH INCOME","LOW INCOME")</f>
        <v>LOW INCOME</v>
      </c>
      <c r="AO900" s="1" t="str">
        <f>IF(Table1[[#This Row],[MNT_TOTAL]]&gt;=900,"HIGH VALUE","LOW VALUE")</f>
        <v>LOW VALUE</v>
      </c>
      <c r="AP9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00" s="1"/>
      <c r="AR900" s="1"/>
    </row>
    <row r="901" spans="1:44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66</v>
      </c>
      <c r="X901">
        <v>2566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1634</v>
      </c>
      <c r="AJ901">
        <v>1618</v>
      </c>
      <c r="AK901">
        <v>1</v>
      </c>
      <c r="AL901">
        <f t="shared" si="14"/>
        <v>1650</v>
      </c>
      <c r="AM901">
        <f>IF(OR(Table1[[#This Row],[marital_Married]]=1,Table1[[#This Row],[marital_Together]]=1),1,0)</f>
        <v>0</v>
      </c>
      <c r="AN901" t="str">
        <f>IF(Table1[[#This Row],[Income]]&gt;=70000,"HIGH INCOME","LOW INCOME")</f>
        <v>HIGH INCOME</v>
      </c>
      <c r="AO901" s="1" t="str">
        <f>IF(Table1[[#This Row],[MNT_TOTAL]]&gt;=900,"HIGH VALUE","LOW VALUE")</f>
        <v>HIGH VALUE</v>
      </c>
      <c r="AP9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01" s="1"/>
      <c r="AR901" s="1"/>
    </row>
    <row r="902" spans="1:44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65</v>
      </c>
      <c r="X902">
        <v>2236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40</v>
      </c>
      <c r="AJ902">
        <v>34</v>
      </c>
      <c r="AK902">
        <v>2</v>
      </c>
      <c r="AL902">
        <f t="shared" si="14"/>
        <v>46</v>
      </c>
      <c r="AM902">
        <f>IF(OR(Table1[[#This Row],[marital_Married]]=1,Table1[[#This Row],[marital_Together]]=1),1,0)</f>
        <v>1</v>
      </c>
      <c r="AN902" t="str">
        <f>IF(Table1[[#This Row],[Income]]&gt;=70000,"HIGH INCOME","LOW INCOME")</f>
        <v>LOW INCOME</v>
      </c>
      <c r="AO902" s="1" t="str">
        <f>IF(Table1[[#This Row],[MNT_TOTAL]]&gt;=900,"HIGH VALUE","LOW VALUE")</f>
        <v>LOW VALUE</v>
      </c>
      <c r="AP9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02" s="1"/>
      <c r="AR902" s="1"/>
    </row>
    <row r="903" spans="1:44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27</v>
      </c>
      <c r="X903">
        <v>2597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1046</v>
      </c>
      <c r="AJ903">
        <v>864</v>
      </c>
      <c r="AK903">
        <v>0</v>
      </c>
      <c r="AL903">
        <f t="shared" si="14"/>
        <v>1228</v>
      </c>
      <c r="AM903">
        <f>IF(OR(Table1[[#This Row],[marital_Married]]=1,Table1[[#This Row],[marital_Together]]=1),1,0)</f>
        <v>0</v>
      </c>
      <c r="AN903" t="str">
        <f>IF(Table1[[#This Row],[Income]]&gt;=70000,"HIGH INCOME","LOW INCOME")</f>
        <v>HIGH INCOME</v>
      </c>
      <c r="AO903" s="1" t="str">
        <f>IF(Table1[[#This Row],[MNT_TOTAL]]&gt;=900,"HIGH VALUE","LOW VALUE")</f>
        <v>HIGH VALUE</v>
      </c>
      <c r="AP9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03" s="1"/>
      <c r="AR903" s="1"/>
    </row>
    <row r="904" spans="1:44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51</v>
      </c>
      <c r="X904">
        <v>2680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69</v>
      </c>
      <c r="AJ904">
        <v>43</v>
      </c>
      <c r="AK904">
        <v>0</v>
      </c>
      <c r="AL904">
        <f t="shared" si="14"/>
        <v>95</v>
      </c>
      <c r="AM904">
        <f>IF(OR(Table1[[#This Row],[marital_Married]]=1,Table1[[#This Row],[marital_Together]]=1),1,0)</f>
        <v>0</v>
      </c>
      <c r="AN904" t="str">
        <f>IF(Table1[[#This Row],[Income]]&gt;=70000,"HIGH INCOME","LOW INCOME")</f>
        <v>LOW INCOME</v>
      </c>
      <c r="AO904" s="1" t="str">
        <f>IF(Table1[[#This Row],[MNT_TOTAL]]&gt;=900,"HIGH VALUE","LOW VALUE")</f>
        <v>LOW VALUE</v>
      </c>
      <c r="AP9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04" s="1"/>
      <c r="AR904" s="1"/>
    </row>
    <row r="905" spans="1:44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72</v>
      </c>
      <c r="X905">
        <v>2215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50</v>
      </c>
      <c r="AJ905">
        <v>38</v>
      </c>
      <c r="AK905">
        <v>0</v>
      </c>
      <c r="AL905">
        <f t="shared" si="14"/>
        <v>62</v>
      </c>
      <c r="AM905">
        <f>IF(OR(Table1[[#This Row],[marital_Married]]=1,Table1[[#This Row],[marital_Together]]=1),1,0)</f>
        <v>1</v>
      </c>
      <c r="AN905" t="str">
        <f>IF(Table1[[#This Row],[Income]]&gt;=70000,"HIGH INCOME","LOW INCOME")</f>
        <v>LOW INCOME</v>
      </c>
      <c r="AO905" s="1" t="str">
        <f>IF(Table1[[#This Row],[MNT_TOTAL]]&gt;=900,"HIGH VALUE","LOW VALUE")</f>
        <v>LOW VALUE</v>
      </c>
      <c r="AP9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05" s="1"/>
      <c r="AR905" s="1"/>
    </row>
    <row r="906" spans="1:44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34</v>
      </c>
      <c r="X906">
        <v>2201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1728</v>
      </c>
      <c r="AJ906">
        <v>1695</v>
      </c>
      <c r="AK906">
        <v>1</v>
      </c>
      <c r="AL906">
        <f t="shared" si="14"/>
        <v>1761</v>
      </c>
      <c r="AM906">
        <f>IF(OR(Table1[[#This Row],[marital_Married]]=1,Table1[[#This Row],[marital_Together]]=1),1,0)</f>
        <v>1</v>
      </c>
      <c r="AN906" t="str">
        <f>IF(Table1[[#This Row],[Income]]&gt;=70000,"HIGH INCOME","LOW INCOME")</f>
        <v>HIGH INCOME</v>
      </c>
      <c r="AO906" s="1" t="str">
        <f>IF(Table1[[#This Row],[MNT_TOTAL]]&gt;=900,"HIGH VALUE","LOW VALUE")</f>
        <v>HIGH VALUE</v>
      </c>
      <c r="AP9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06" s="1"/>
      <c r="AR906" s="1"/>
    </row>
    <row r="907" spans="1:44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41</v>
      </c>
      <c r="X907">
        <v>2826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352</v>
      </c>
      <c r="AJ907">
        <v>237</v>
      </c>
      <c r="AK907">
        <v>0</v>
      </c>
      <c r="AL907">
        <f t="shared" si="14"/>
        <v>467</v>
      </c>
      <c r="AM907">
        <f>IF(OR(Table1[[#This Row],[marital_Married]]=1,Table1[[#This Row],[marital_Together]]=1),1,0)</f>
        <v>1</v>
      </c>
      <c r="AN907" t="str">
        <f>IF(Table1[[#This Row],[Income]]&gt;=70000,"HIGH INCOME","LOW INCOME")</f>
        <v>LOW INCOME</v>
      </c>
      <c r="AO907" s="1" t="str">
        <f>IF(Table1[[#This Row],[MNT_TOTAL]]&gt;=900,"HIGH VALUE","LOW VALUE")</f>
        <v>LOW VALUE</v>
      </c>
      <c r="AP9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07" s="1"/>
      <c r="AR907" s="1"/>
    </row>
    <row r="908" spans="1:44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42</v>
      </c>
      <c r="X908">
        <v>2298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1041</v>
      </c>
      <c r="AJ908">
        <v>933</v>
      </c>
      <c r="AK908">
        <v>1</v>
      </c>
      <c r="AL908">
        <f t="shared" si="14"/>
        <v>1149</v>
      </c>
      <c r="AM908">
        <f>IF(OR(Table1[[#This Row],[marital_Married]]=1,Table1[[#This Row],[marital_Together]]=1),1,0)</f>
        <v>1</v>
      </c>
      <c r="AN908" t="str">
        <f>IF(Table1[[#This Row],[Income]]&gt;=70000,"HIGH INCOME","LOW INCOME")</f>
        <v>HIGH INCOME</v>
      </c>
      <c r="AO908" s="1" t="str">
        <f>IF(Table1[[#This Row],[MNT_TOTAL]]&gt;=900,"HIGH VALUE","LOW VALUE")</f>
        <v>HIGH VALUE</v>
      </c>
      <c r="AP9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08" s="1"/>
      <c r="AR908" s="1"/>
    </row>
    <row r="909" spans="1:44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38</v>
      </c>
      <c r="X909">
        <v>2340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1886</v>
      </c>
      <c r="AJ909">
        <v>1720</v>
      </c>
      <c r="AK909">
        <v>1</v>
      </c>
      <c r="AL909">
        <f t="shared" si="14"/>
        <v>2052</v>
      </c>
      <c r="AM909">
        <f>IF(OR(Table1[[#This Row],[marital_Married]]=1,Table1[[#This Row],[marital_Together]]=1),1,0)</f>
        <v>0</v>
      </c>
      <c r="AN909" t="str">
        <f>IF(Table1[[#This Row],[Income]]&gt;=70000,"HIGH INCOME","LOW INCOME")</f>
        <v>HIGH INCOME</v>
      </c>
      <c r="AO909" s="1" t="str">
        <f>IF(Table1[[#This Row],[MNT_TOTAL]]&gt;=900,"HIGH VALUE","LOW VALUE")</f>
        <v>HIGH VALUE</v>
      </c>
      <c r="AP9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09" s="1"/>
      <c r="AR909" s="1"/>
    </row>
    <row r="910" spans="1:44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27</v>
      </c>
      <c r="X910">
        <v>2215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1046</v>
      </c>
      <c r="AJ910">
        <v>965</v>
      </c>
      <c r="AK910">
        <v>0</v>
      </c>
      <c r="AL910">
        <f t="shared" si="14"/>
        <v>1127</v>
      </c>
      <c r="AM910">
        <f>IF(OR(Table1[[#This Row],[marital_Married]]=1,Table1[[#This Row],[marital_Together]]=1),1,0)</f>
        <v>0</v>
      </c>
      <c r="AN910" t="str">
        <f>IF(Table1[[#This Row],[Income]]&gt;=70000,"HIGH INCOME","LOW INCOME")</f>
        <v>HIGH INCOME</v>
      </c>
      <c r="AO910" s="1" t="str">
        <f>IF(Table1[[#This Row],[MNT_TOTAL]]&gt;=900,"HIGH VALUE","LOW VALUE")</f>
        <v>HIGH VALUE</v>
      </c>
      <c r="AP9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10" s="1"/>
      <c r="AR910" s="1"/>
    </row>
    <row r="911" spans="1:44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44</v>
      </c>
      <c r="X911">
        <v>2383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1336</v>
      </c>
      <c r="AJ911">
        <v>1256</v>
      </c>
      <c r="AK911">
        <v>0</v>
      </c>
      <c r="AL911">
        <f t="shared" si="14"/>
        <v>1416</v>
      </c>
      <c r="AM911">
        <f>IF(OR(Table1[[#This Row],[marital_Married]]=1,Table1[[#This Row],[marital_Together]]=1),1,0)</f>
        <v>1</v>
      </c>
      <c r="AN911" t="str">
        <f>IF(Table1[[#This Row],[Income]]&gt;=70000,"HIGH INCOME","LOW INCOME")</f>
        <v>LOW INCOME</v>
      </c>
      <c r="AO911" s="1" t="str">
        <f>IF(Table1[[#This Row],[MNT_TOTAL]]&gt;=900,"HIGH VALUE","LOW VALUE")</f>
        <v>HIGH VALUE</v>
      </c>
      <c r="AP9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11" s="1"/>
      <c r="AR911" s="1"/>
    </row>
    <row r="912" spans="1:44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46</v>
      </c>
      <c r="X912">
        <v>2241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1101</v>
      </c>
      <c r="AJ912">
        <v>1089</v>
      </c>
      <c r="AK912">
        <v>0</v>
      </c>
      <c r="AL912">
        <f t="shared" si="14"/>
        <v>1113</v>
      </c>
      <c r="AM912">
        <f>IF(OR(Table1[[#This Row],[marital_Married]]=1,Table1[[#This Row],[marital_Together]]=1),1,0)</f>
        <v>1</v>
      </c>
      <c r="AN912" t="str">
        <f>IF(Table1[[#This Row],[Income]]&gt;=70000,"HIGH INCOME","LOW INCOME")</f>
        <v>HIGH INCOME</v>
      </c>
      <c r="AO912" s="1" t="str">
        <f>IF(Table1[[#This Row],[MNT_TOTAL]]&gt;=900,"HIGH VALUE","LOW VALUE")</f>
        <v>HIGH VALUE</v>
      </c>
      <c r="AP9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12" s="1"/>
      <c r="AR912" s="1"/>
    </row>
    <row r="913" spans="1:44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31</v>
      </c>
      <c r="X913">
        <v>2298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92</v>
      </c>
      <c r="AJ913">
        <v>59</v>
      </c>
      <c r="AK913">
        <v>0</v>
      </c>
      <c r="AL913">
        <f t="shared" si="14"/>
        <v>125</v>
      </c>
      <c r="AM913">
        <f>IF(OR(Table1[[#This Row],[marital_Married]]=1,Table1[[#This Row],[marital_Together]]=1),1,0)</f>
        <v>0</v>
      </c>
      <c r="AN913" t="str">
        <f>IF(Table1[[#This Row],[Income]]&gt;=70000,"HIGH INCOME","LOW INCOME")</f>
        <v>LOW INCOME</v>
      </c>
      <c r="AO913" s="1" t="str">
        <f>IF(Table1[[#This Row],[MNT_TOTAL]]&gt;=900,"HIGH VALUE","LOW VALUE")</f>
        <v>LOW VALUE</v>
      </c>
      <c r="AP9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13" s="1"/>
      <c r="AR913" s="1"/>
    </row>
    <row r="914" spans="1:44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69</v>
      </c>
      <c r="X914">
        <v>2845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903</v>
      </c>
      <c r="AJ914">
        <v>840</v>
      </c>
      <c r="AK914">
        <v>1</v>
      </c>
      <c r="AL914">
        <f t="shared" si="14"/>
        <v>966</v>
      </c>
      <c r="AM914">
        <f>IF(OR(Table1[[#This Row],[marital_Married]]=1,Table1[[#This Row],[marital_Together]]=1),1,0)</f>
        <v>0</v>
      </c>
      <c r="AN914" t="str">
        <f>IF(Table1[[#This Row],[Income]]&gt;=70000,"HIGH INCOME","LOW INCOME")</f>
        <v>LOW INCOME</v>
      </c>
      <c r="AO914" s="1" t="str">
        <f>IF(Table1[[#This Row],[MNT_TOTAL]]&gt;=900,"HIGH VALUE","LOW VALUE")</f>
        <v>HIGH VALUE</v>
      </c>
      <c r="AP9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14" s="1"/>
      <c r="AR914" s="1"/>
    </row>
    <row r="915" spans="1:44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31</v>
      </c>
      <c r="X915">
        <v>2713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25</v>
      </c>
      <c r="AJ915">
        <v>18</v>
      </c>
      <c r="AK915">
        <v>0</v>
      </c>
      <c r="AL915">
        <f t="shared" si="14"/>
        <v>32</v>
      </c>
      <c r="AM915">
        <f>IF(OR(Table1[[#This Row],[marital_Married]]=1,Table1[[#This Row],[marital_Together]]=1),1,0)</f>
        <v>1</v>
      </c>
      <c r="AN915" t="str">
        <f>IF(Table1[[#This Row],[Income]]&gt;=70000,"HIGH INCOME","LOW INCOME")</f>
        <v>LOW INCOME</v>
      </c>
      <c r="AO915" s="1" t="str">
        <f>IF(Table1[[#This Row],[MNT_TOTAL]]&gt;=900,"HIGH VALUE","LOW VALUE")</f>
        <v>LOW VALUE</v>
      </c>
      <c r="AP9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15" s="1"/>
      <c r="AR915" s="1"/>
    </row>
    <row r="916" spans="1:44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68</v>
      </c>
      <c r="X916">
        <v>2197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606</v>
      </c>
      <c r="AJ916">
        <v>379</v>
      </c>
      <c r="AK916">
        <v>0</v>
      </c>
      <c r="AL916">
        <f t="shared" si="14"/>
        <v>833</v>
      </c>
      <c r="AM916">
        <f>IF(OR(Table1[[#This Row],[marital_Married]]=1,Table1[[#This Row],[marital_Together]]=1),1,0)</f>
        <v>0</v>
      </c>
      <c r="AN916" t="str">
        <f>IF(Table1[[#This Row],[Income]]&gt;=70000,"HIGH INCOME","LOW INCOME")</f>
        <v>HIGH INCOME</v>
      </c>
      <c r="AO916" s="1" t="str">
        <f>IF(Table1[[#This Row],[MNT_TOTAL]]&gt;=900,"HIGH VALUE","LOW VALUE")</f>
        <v>LOW VALUE</v>
      </c>
      <c r="AP9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16" s="1"/>
      <c r="AR916" s="1"/>
    </row>
    <row r="917" spans="1:44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49</v>
      </c>
      <c r="X917">
        <v>2194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44</v>
      </c>
      <c r="AJ917">
        <v>42</v>
      </c>
      <c r="AK917">
        <v>0</v>
      </c>
      <c r="AL917">
        <f t="shared" si="14"/>
        <v>46</v>
      </c>
      <c r="AM917">
        <f>IF(OR(Table1[[#This Row],[marital_Married]]=1,Table1[[#This Row],[marital_Together]]=1),1,0)</f>
        <v>1</v>
      </c>
      <c r="AN917" t="str">
        <f>IF(Table1[[#This Row],[Income]]&gt;=70000,"HIGH INCOME","LOW INCOME")</f>
        <v>LOW INCOME</v>
      </c>
      <c r="AO917" s="1" t="str">
        <f>IF(Table1[[#This Row],[MNT_TOTAL]]&gt;=900,"HIGH VALUE","LOW VALUE")</f>
        <v>LOW VALUE</v>
      </c>
      <c r="AP9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17" s="1"/>
      <c r="AR917" s="1"/>
    </row>
    <row r="918" spans="1:44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49</v>
      </c>
      <c r="X918">
        <v>2407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928</v>
      </c>
      <c r="AJ918">
        <v>896</v>
      </c>
      <c r="AK918">
        <v>0</v>
      </c>
      <c r="AL918">
        <f t="shared" si="14"/>
        <v>960</v>
      </c>
      <c r="AM918">
        <f>IF(OR(Table1[[#This Row],[marital_Married]]=1,Table1[[#This Row],[marital_Together]]=1),1,0)</f>
        <v>1</v>
      </c>
      <c r="AN918" t="str">
        <f>IF(Table1[[#This Row],[Income]]&gt;=70000,"HIGH INCOME","LOW INCOME")</f>
        <v>HIGH INCOME</v>
      </c>
      <c r="AO918" s="1" t="str">
        <f>IF(Table1[[#This Row],[MNT_TOTAL]]&gt;=900,"HIGH VALUE","LOW VALUE")</f>
        <v>HIGH VALUE</v>
      </c>
      <c r="AP9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18" s="1"/>
      <c r="AR918" s="1"/>
    </row>
    <row r="919" spans="1:44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50</v>
      </c>
      <c r="X919">
        <v>2562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1794</v>
      </c>
      <c r="AJ919">
        <v>1759</v>
      </c>
      <c r="AK919">
        <v>1</v>
      </c>
      <c r="AL919">
        <f t="shared" si="14"/>
        <v>1829</v>
      </c>
      <c r="AM919">
        <f>IF(OR(Table1[[#This Row],[marital_Married]]=1,Table1[[#This Row],[marital_Together]]=1),1,0)</f>
        <v>1</v>
      </c>
      <c r="AN919" t="str">
        <f>IF(Table1[[#This Row],[Income]]&gt;=70000,"HIGH INCOME","LOW INCOME")</f>
        <v>LOW INCOME</v>
      </c>
      <c r="AO919" s="1" t="str">
        <f>IF(Table1[[#This Row],[MNT_TOTAL]]&gt;=900,"HIGH VALUE","LOW VALUE")</f>
        <v>HIGH VALUE</v>
      </c>
      <c r="AP9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19" s="1"/>
      <c r="AR919" s="1"/>
    </row>
    <row r="920" spans="1:44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49</v>
      </c>
      <c r="X920">
        <v>2509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673</v>
      </c>
      <c r="AJ920">
        <v>567</v>
      </c>
      <c r="AK920">
        <v>0</v>
      </c>
      <c r="AL920">
        <f t="shared" si="14"/>
        <v>779</v>
      </c>
      <c r="AM920">
        <f>IF(OR(Table1[[#This Row],[marital_Married]]=1,Table1[[#This Row],[marital_Together]]=1),1,0)</f>
        <v>0</v>
      </c>
      <c r="AN920" t="str">
        <f>IF(Table1[[#This Row],[Income]]&gt;=70000,"HIGH INCOME","LOW INCOME")</f>
        <v>LOW INCOME</v>
      </c>
      <c r="AO920" s="1" t="str">
        <f>IF(Table1[[#This Row],[MNT_TOTAL]]&gt;=900,"HIGH VALUE","LOW VALUE")</f>
        <v>LOW VALUE</v>
      </c>
      <c r="AP9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0" s="1"/>
      <c r="AR920" s="1"/>
    </row>
    <row r="921" spans="1:44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45</v>
      </c>
      <c r="X921">
        <v>2483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796</v>
      </c>
      <c r="AJ921">
        <v>781</v>
      </c>
      <c r="AK921">
        <v>0</v>
      </c>
      <c r="AL921">
        <f t="shared" si="14"/>
        <v>811</v>
      </c>
      <c r="AM921">
        <f>IF(OR(Table1[[#This Row],[marital_Married]]=1,Table1[[#This Row],[marital_Together]]=1),1,0)</f>
        <v>0</v>
      </c>
      <c r="AN921" t="str">
        <f>IF(Table1[[#This Row],[Income]]&gt;=70000,"HIGH INCOME","LOW INCOME")</f>
        <v>LOW INCOME</v>
      </c>
      <c r="AO921" s="1" t="str">
        <f>IF(Table1[[#This Row],[MNT_TOTAL]]&gt;=900,"HIGH VALUE","LOW VALUE")</f>
        <v>LOW VALUE</v>
      </c>
      <c r="AP9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1" s="1"/>
      <c r="AR921" s="1"/>
    </row>
    <row r="922" spans="1:44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68</v>
      </c>
      <c r="X922">
        <v>2543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976</v>
      </c>
      <c r="AJ922">
        <v>832</v>
      </c>
      <c r="AK922">
        <v>0</v>
      </c>
      <c r="AL922">
        <f t="shared" si="14"/>
        <v>1120</v>
      </c>
      <c r="AM922">
        <f>IF(OR(Table1[[#This Row],[marital_Married]]=1,Table1[[#This Row],[marital_Together]]=1),1,0)</f>
        <v>0</v>
      </c>
      <c r="AN922" t="str">
        <f>IF(Table1[[#This Row],[Income]]&gt;=70000,"HIGH INCOME","LOW INCOME")</f>
        <v>LOW INCOME</v>
      </c>
      <c r="AO922" s="1" t="str">
        <f>IF(Table1[[#This Row],[MNT_TOTAL]]&gt;=900,"HIGH VALUE","LOW VALUE")</f>
        <v>HIGH VALUE</v>
      </c>
      <c r="AP9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2" s="1"/>
      <c r="AR922" s="1"/>
    </row>
    <row r="923" spans="1:44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58</v>
      </c>
      <c r="X923">
        <v>2503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605</v>
      </c>
      <c r="AJ923">
        <v>485</v>
      </c>
      <c r="AK923">
        <v>0</v>
      </c>
      <c r="AL923">
        <f t="shared" si="14"/>
        <v>725</v>
      </c>
      <c r="AM923">
        <f>IF(OR(Table1[[#This Row],[marital_Married]]=1,Table1[[#This Row],[marital_Together]]=1),1,0)</f>
        <v>1</v>
      </c>
      <c r="AN923" t="str">
        <f>IF(Table1[[#This Row],[Income]]&gt;=70000,"HIGH INCOME","LOW INCOME")</f>
        <v>LOW INCOME</v>
      </c>
      <c r="AO923" s="1" t="str">
        <f>IF(Table1[[#This Row],[MNT_TOTAL]]&gt;=900,"HIGH VALUE","LOW VALUE")</f>
        <v>LOW VALUE</v>
      </c>
      <c r="AP9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23" s="1"/>
      <c r="AR923" s="1"/>
    </row>
    <row r="924" spans="1:44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</v>
      </c>
      <c r="W924">
        <v>37</v>
      </c>
      <c r="X924">
        <v>2556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1089</v>
      </c>
      <c r="AJ924">
        <v>991</v>
      </c>
      <c r="AK924">
        <v>1</v>
      </c>
      <c r="AL924">
        <f t="shared" si="14"/>
        <v>1187</v>
      </c>
      <c r="AM924">
        <f>IF(OR(Table1[[#This Row],[marital_Married]]=1,Table1[[#This Row],[marital_Together]]=1),1,0)</f>
        <v>0</v>
      </c>
      <c r="AN924" t="str">
        <f>IF(Table1[[#This Row],[Income]]&gt;=70000,"HIGH INCOME","LOW INCOME")</f>
        <v>HIGH INCOME</v>
      </c>
      <c r="AO924" s="1" t="str">
        <f>IF(Table1[[#This Row],[MNT_TOTAL]]&gt;=900,"HIGH VALUE","LOW VALUE")</f>
        <v>HIGH VALUE</v>
      </c>
      <c r="AP9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24" s="1"/>
      <c r="AR924" s="1"/>
    </row>
    <row r="925" spans="1:44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1</v>
      </c>
      <c r="W925">
        <v>67</v>
      </c>
      <c r="X925">
        <v>2641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2130</v>
      </c>
      <c r="AJ925">
        <v>1958</v>
      </c>
      <c r="AK925">
        <v>3</v>
      </c>
      <c r="AL925">
        <f t="shared" si="14"/>
        <v>2302</v>
      </c>
      <c r="AM925">
        <f>IF(OR(Table1[[#This Row],[marital_Married]]=1,Table1[[#This Row],[marital_Together]]=1),1,0)</f>
        <v>1</v>
      </c>
      <c r="AN925" t="str">
        <f>IF(Table1[[#This Row],[Income]]&gt;=70000,"HIGH INCOME","LOW INCOME")</f>
        <v>HIGH INCOME</v>
      </c>
      <c r="AO925" s="1" t="str">
        <f>IF(Table1[[#This Row],[MNT_TOTAL]]&gt;=900,"HIGH VALUE","LOW VALUE")</f>
        <v>HIGH VALUE</v>
      </c>
      <c r="AP9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25" s="1"/>
      <c r="AR925" s="1"/>
    </row>
    <row r="926" spans="1:44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34</v>
      </c>
      <c r="X926">
        <v>2713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51</v>
      </c>
      <c r="AJ926">
        <v>36</v>
      </c>
      <c r="AK926">
        <v>0</v>
      </c>
      <c r="AL926">
        <f t="shared" si="14"/>
        <v>66</v>
      </c>
      <c r="AM926">
        <f>IF(OR(Table1[[#This Row],[marital_Married]]=1,Table1[[#This Row],[marital_Together]]=1),1,0)</f>
        <v>0</v>
      </c>
      <c r="AN926" t="str">
        <f>IF(Table1[[#This Row],[Income]]&gt;=70000,"HIGH INCOME","LOW INCOME")</f>
        <v>LOW INCOME</v>
      </c>
      <c r="AO926" s="1" t="str">
        <f>IF(Table1[[#This Row],[MNT_TOTAL]]&gt;=900,"HIGH VALUE","LOW VALUE")</f>
        <v>LOW VALUE</v>
      </c>
      <c r="AP9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6" s="1"/>
      <c r="AR926" s="1"/>
    </row>
    <row r="927" spans="1:44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33</v>
      </c>
      <c r="X927">
        <v>2795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1214</v>
      </c>
      <c r="AJ927">
        <v>1178</v>
      </c>
      <c r="AK927">
        <v>2</v>
      </c>
      <c r="AL927">
        <f t="shared" si="14"/>
        <v>1250</v>
      </c>
      <c r="AM927">
        <f>IF(OR(Table1[[#This Row],[marital_Married]]=1,Table1[[#This Row],[marital_Together]]=1),1,0)</f>
        <v>1</v>
      </c>
      <c r="AN927" t="str">
        <f>IF(Table1[[#This Row],[Income]]&gt;=70000,"HIGH INCOME","LOW INCOME")</f>
        <v>LOW INCOME</v>
      </c>
      <c r="AO927" s="1" t="str">
        <f>IF(Table1[[#This Row],[MNT_TOTAL]]&gt;=900,"HIGH VALUE","LOW VALUE")</f>
        <v>HIGH VALUE</v>
      </c>
      <c r="AP9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7" s="1"/>
      <c r="AR927" s="1"/>
    </row>
    <row r="928" spans="1:44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38</v>
      </c>
      <c r="X928">
        <v>2292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550</v>
      </c>
      <c r="AJ928">
        <v>417</v>
      </c>
      <c r="AK928">
        <v>0</v>
      </c>
      <c r="AL928">
        <f t="shared" si="14"/>
        <v>683</v>
      </c>
      <c r="AM928">
        <f>IF(OR(Table1[[#This Row],[marital_Married]]=1,Table1[[#This Row],[marital_Together]]=1),1,0)</f>
        <v>1</v>
      </c>
      <c r="AN928" t="str">
        <f>IF(Table1[[#This Row],[Income]]&gt;=70000,"HIGH INCOME","LOW INCOME")</f>
        <v>LOW INCOME</v>
      </c>
      <c r="AO928" s="1" t="str">
        <f>IF(Table1[[#This Row],[MNT_TOTAL]]&gt;=900,"HIGH VALUE","LOW VALUE")</f>
        <v>LOW VALUE</v>
      </c>
      <c r="AP9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28" s="1"/>
      <c r="AR928" s="1"/>
    </row>
    <row r="929" spans="1:44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41</v>
      </c>
      <c r="X929">
        <v>2431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259</v>
      </c>
      <c r="AJ929">
        <v>213</v>
      </c>
      <c r="AK929">
        <v>0</v>
      </c>
      <c r="AL929">
        <f t="shared" si="14"/>
        <v>305</v>
      </c>
      <c r="AM929">
        <f>IF(OR(Table1[[#This Row],[marital_Married]]=1,Table1[[#This Row],[marital_Together]]=1),1,0)</f>
        <v>0</v>
      </c>
      <c r="AN929" t="str">
        <f>IF(Table1[[#This Row],[Income]]&gt;=70000,"HIGH INCOME","LOW INCOME")</f>
        <v>LOW INCOME</v>
      </c>
      <c r="AO929" s="1" t="str">
        <f>IF(Table1[[#This Row],[MNT_TOTAL]]&gt;=900,"HIGH VALUE","LOW VALUE")</f>
        <v>LOW VALUE</v>
      </c>
      <c r="AP9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29" s="1"/>
      <c r="AR929" s="1"/>
    </row>
    <row r="930" spans="1:44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43</v>
      </c>
      <c r="X930">
        <v>2364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36</v>
      </c>
      <c r="AJ930">
        <v>22</v>
      </c>
      <c r="AK930">
        <v>0</v>
      </c>
      <c r="AL930">
        <f t="shared" si="14"/>
        <v>50</v>
      </c>
      <c r="AM930">
        <f>IF(OR(Table1[[#This Row],[marital_Married]]=1,Table1[[#This Row],[marital_Together]]=1),1,0)</f>
        <v>1</v>
      </c>
      <c r="AN930" t="str">
        <f>IF(Table1[[#This Row],[Income]]&gt;=70000,"HIGH INCOME","LOW INCOME")</f>
        <v>LOW INCOME</v>
      </c>
      <c r="AO930" s="1" t="str">
        <f>IF(Table1[[#This Row],[MNT_TOTAL]]&gt;=900,"HIGH VALUE","LOW VALUE")</f>
        <v>LOW VALUE</v>
      </c>
      <c r="AP9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0" s="1"/>
      <c r="AR930" s="1"/>
    </row>
    <row r="931" spans="1:44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45</v>
      </c>
      <c r="X931">
        <v>2795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948</v>
      </c>
      <c r="AJ931">
        <v>901</v>
      </c>
      <c r="AK931">
        <v>0</v>
      </c>
      <c r="AL931">
        <f t="shared" si="14"/>
        <v>995</v>
      </c>
      <c r="AM931">
        <f>IF(OR(Table1[[#This Row],[marital_Married]]=1,Table1[[#This Row],[marital_Together]]=1),1,0)</f>
        <v>0</v>
      </c>
      <c r="AN931" t="str">
        <f>IF(Table1[[#This Row],[Income]]&gt;=70000,"HIGH INCOME","LOW INCOME")</f>
        <v>LOW INCOME</v>
      </c>
      <c r="AO931" s="1" t="str">
        <f>IF(Table1[[#This Row],[MNT_TOTAL]]&gt;=900,"HIGH VALUE","LOW VALUE")</f>
        <v>HIGH VALUE</v>
      </c>
      <c r="AP9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31" s="1"/>
      <c r="AR931" s="1"/>
    </row>
    <row r="932" spans="1:44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41</v>
      </c>
      <c r="X932">
        <v>2209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30</v>
      </c>
      <c r="AJ932">
        <v>19</v>
      </c>
      <c r="AK932">
        <v>0</v>
      </c>
      <c r="AL932">
        <f t="shared" si="14"/>
        <v>41</v>
      </c>
      <c r="AM932">
        <f>IF(OR(Table1[[#This Row],[marital_Married]]=1,Table1[[#This Row],[marital_Together]]=1),1,0)</f>
        <v>1</v>
      </c>
      <c r="AN932" t="str">
        <f>IF(Table1[[#This Row],[Income]]&gt;=70000,"HIGH INCOME","LOW INCOME")</f>
        <v>LOW INCOME</v>
      </c>
      <c r="AO932" s="1" t="str">
        <f>IF(Table1[[#This Row],[MNT_TOTAL]]&gt;=900,"HIGH VALUE","LOW VALUE")</f>
        <v>LOW VALUE</v>
      </c>
      <c r="AP9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2" s="1"/>
      <c r="AR932" s="1"/>
    </row>
    <row r="933" spans="1:44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44</v>
      </c>
      <c r="X933">
        <v>2211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59</v>
      </c>
      <c r="AJ933">
        <v>41</v>
      </c>
      <c r="AK933">
        <v>1</v>
      </c>
      <c r="AL933">
        <f t="shared" si="14"/>
        <v>77</v>
      </c>
      <c r="AM933">
        <f>IF(OR(Table1[[#This Row],[marital_Married]]=1,Table1[[#This Row],[marital_Together]]=1),1,0)</f>
        <v>1</v>
      </c>
      <c r="AN933" t="str">
        <f>IF(Table1[[#This Row],[Income]]&gt;=70000,"HIGH INCOME","LOW INCOME")</f>
        <v>LOW INCOME</v>
      </c>
      <c r="AO933" s="1" t="str">
        <f>IF(Table1[[#This Row],[MNT_TOTAL]]&gt;=900,"HIGH VALUE","LOW VALUE")</f>
        <v>LOW VALUE</v>
      </c>
      <c r="AP9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3" s="1"/>
      <c r="AR933" s="1"/>
    </row>
    <row r="934" spans="1:44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47</v>
      </c>
      <c r="X934">
        <v>2675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153</v>
      </c>
      <c r="AJ934">
        <v>135</v>
      </c>
      <c r="AK934">
        <v>0</v>
      </c>
      <c r="AL934">
        <f t="shared" si="14"/>
        <v>171</v>
      </c>
      <c r="AM934">
        <f>IF(OR(Table1[[#This Row],[marital_Married]]=1,Table1[[#This Row],[marital_Together]]=1),1,0)</f>
        <v>0</v>
      </c>
      <c r="AN934" t="str">
        <f>IF(Table1[[#This Row],[Income]]&gt;=70000,"HIGH INCOME","LOW INCOME")</f>
        <v>LOW INCOME</v>
      </c>
      <c r="AO934" s="1" t="str">
        <f>IF(Table1[[#This Row],[MNT_TOTAL]]&gt;=900,"HIGH VALUE","LOW VALUE")</f>
        <v>LOW VALUE</v>
      </c>
      <c r="AP9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34" s="1"/>
      <c r="AR934" s="1"/>
    </row>
    <row r="935" spans="1:44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49</v>
      </c>
      <c r="X935">
        <v>2573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93</v>
      </c>
      <c r="AJ935">
        <v>55</v>
      </c>
      <c r="AK935">
        <v>0</v>
      </c>
      <c r="AL935">
        <f t="shared" si="14"/>
        <v>131</v>
      </c>
      <c r="AM935">
        <f>IF(OR(Table1[[#This Row],[marital_Married]]=1,Table1[[#This Row],[marital_Together]]=1),1,0)</f>
        <v>0</v>
      </c>
      <c r="AN935" t="str">
        <f>IF(Table1[[#This Row],[Income]]&gt;=70000,"HIGH INCOME","LOW INCOME")</f>
        <v>LOW INCOME</v>
      </c>
      <c r="AO935" s="1" t="str">
        <f>IF(Table1[[#This Row],[MNT_TOTAL]]&gt;=900,"HIGH VALUE","LOW VALUE")</f>
        <v>LOW VALUE</v>
      </c>
      <c r="AP9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35" s="1"/>
      <c r="AR935" s="1"/>
    </row>
    <row r="936" spans="1:44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44</v>
      </c>
      <c r="X936">
        <v>2208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40</v>
      </c>
      <c r="AJ936">
        <v>26</v>
      </c>
      <c r="AK936">
        <v>0</v>
      </c>
      <c r="AL936">
        <f t="shared" si="14"/>
        <v>54</v>
      </c>
      <c r="AM936">
        <f>IF(OR(Table1[[#This Row],[marital_Married]]=1,Table1[[#This Row],[marital_Together]]=1),1,0)</f>
        <v>1</v>
      </c>
      <c r="AN936" t="str">
        <f>IF(Table1[[#This Row],[Income]]&gt;=70000,"HIGH INCOME","LOW INCOME")</f>
        <v>LOW INCOME</v>
      </c>
      <c r="AO936" s="1" t="str">
        <f>IF(Table1[[#This Row],[MNT_TOTAL]]&gt;=900,"HIGH VALUE","LOW VALUE")</f>
        <v>LOW VALUE</v>
      </c>
      <c r="AP9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6" s="1"/>
      <c r="AR936" s="1"/>
    </row>
    <row r="937" spans="1:44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44</v>
      </c>
      <c r="X937">
        <v>2663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49</v>
      </c>
      <c r="AJ937">
        <v>45</v>
      </c>
      <c r="AK937">
        <v>0</v>
      </c>
      <c r="AL937">
        <f t="shared" si="14"/>
        <v>53</v>
      </c>
      <c r="AM937">
        <f>IF(OR(Table1[[#This Row],[marital_Married]]=1,Table1[[#This Row],[marital_Together]]=1),1,0)</f>
        <v>1</v>
      </c>
      <c r="AN937" t="str">
        <f>IF(Table1[[#This Row],[Income]]&gt;=70000,"HIGH INCOME","LOW INCOME")</f>
        <v>LOW INCOME</v>
      </c>
      <c r="AO937" s="1" t="str">
        <f>IF(Table1[[#This Row],[MNT_TOTAL]]&gt;=900,"HIGH VALUE","LOW VALUE")</f>
        <v>LOW VALUE</v>
      </c>
      <c r="AP9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7" s="1"/>
      <c r="AR937" s="1"/>
    </row>
    <row r="938" spans="1:44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55</v>
      </c>
      <c r="X938">
        <v>2734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336</v>
      </c>
      <c r="AJ938">
        <v>197</v>
      </c>
      <c r="AK938">
        <v>0</v>
      </c>
      <c r="AL938">
        <f t="shared" si="14"/>
        <v>475</v>
      </c>
      <c r="AM938">
        <f>IF(OR(Table1[[#This Row],[marital_Married]]=1,Table1[[#This Row],[marital_Together]]=1),1,0)</f>
        <v>1</v>
      </c>
      <c r="AN938" t="str">
        <f>IF(Table1[[#This Row],[Income]]&gt;=70000,"HIGH INCOME","LOW INCOME")</f>
        <v>LOW INCOME</v>
      </c>
      <c r="AO938" s="1" t="str">
        <f>IF(Table1[[#This Row],[MNT_TOTAL]]&gt;=900,"HIGH VALUE","LOW VALUE")</f>
        <v>LOW VALUE</v>
      </c>
      <c r="AP9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38" s="1"/>
      <c r="AR938" s="1"/>
    </row>
    <row r="939" spans="1:44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68</v>
      </c>
      <c r="X939">
        <v>2840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611</v>
      </c>
      <c r="AJ939">
        <v>528</v>
      </c>
      <c r="AK939">
        <v>0</v>
      </c>
      <c r="AL939">
        <f t="shared" si="14"/>
        <v>694</v>
      </c>
      <c r="AM939">
        <f>IF(OR(Table1[[#This Row],[marital_Married]]=1,Table1[[#This Row],[marital_Together]]=1),1,0)</f>
        <v>0</v>
      </c>
      <c r="AN939" t="str">
        <f>IF(Table1[[#This Row],[Income]]&gt;=70000,"HIGH INCOME","LOW INCOME")</f>
        <v>LOW INCOME</v>
      </c>
      <c r="AO939" s="1" t="str">
        <f>IF(Table1[[#This Row],[MNT_TOTAL]]&gt;=900,"HIGH VALUE","LOW VALUE")</f>
        <v>LOW VALUE</v>
      </c>
      <c r="AP9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39" s="1"/>
      <c r="AR939" s="1"/>
    </row>
    <row r="940" spans="1:44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47</v>
      </c>
      <c r="X940">
        <v>2212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90</v>
      </c>
      <c r="AJ940">
        <v>84</v>
      </c>
      <c r="AK940">
        <v>0</v>
      </c>
      <c r="AL940">
        <f t="shared" si="14"/>
        <v>96</v>
      </c>
      <c r="AM940">
        <f>IF(OR(Table1[[#This Row],[marital_Married]]=1,Table1[[#This Row],[marital_Together]]=1),1,0)</f>
        <v>1</v>
      </c>
      <c r="AN940" t="str">
        <f>IF(Table1[[#This Row],[Income]]&gt;=70000,"HIGH INCOME","LOW INCOME")</f>
        <v>LOW INCOME</v>
      </c>
      <c r="AO940" s="1" t="str">
        <f>IF(Table1[[#This Row],[MNT_TOTAL]]&gt;=900,"HIGH VALUE","LOW VALUE")</f>
        <v>LOW VALUE</v>
      </c>
      <c r="AP9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0" s="1"/>
      <c r="AR940" s="1"/>
    </row>
    <row r="941" spans="1:44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63</v>
      </c>
      <c r="X941">
        <v>2587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304</v>
      </c>
      <c r="AJ941">
        <v>247</v>
      </c>
      <c r="AK941">
        <v>0</v>
      </c>
      <c r="AL941">
        <f t="shared" si="14"/>
        <v>361</v>
      </c>
      <c r="AM941">
        <f>IF(OR(Table1[[#This Row],[marital_Married]]=1,Table1[[#This Row],[marital_Together]]=1),1,0)</f>
        <v>0</v>
      </c>
      <c r="AN941" t="str">
        <f>IF(Table1[[#This Row],[Income]]&gt;=70000,"HIGH INCOME","LOW INCOME")</f>
        <v>LOW INCOME</v>
      </c>
      <c r="AO941" s="1" t="str">
        <f>IF(Table1[[#This Row],[MNT_TOTAL]]&gt;=900,"HIGH VALUE","LOW VALUE")</f>
        <v>LOW VALUE</v>
      </c>
      <c r="AP9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41" s="1"/>
      <c r="AR941" s="1"/>
    </row>
    <row r="942" spans="1:44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53</v>
      </c>
      <c r="X942">
        <v>2805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965</v>
      </c>
      <c r="AJ942">
        <v>851</v>
      </c>
      <c r="AK942">
        <v>0</v>
      </c>
      <c r="AL942">
        <f t="shared" si="14"/>
        <v>1079</v>
      </c>
      <c r="AM942">
        <f>IF(OR(Table1[[#This Row],[marital_Married]]=1,Table1[[#This Row],[marital_Together]]=1),1,0)</f>
        <v>0</v>
      </c>
      <c r="AN942" t="str">
        <f>IF(Table1[[#This Row],[Income]]&gt;=70000,"HIGH INCOME","LOW INCOME")</f>
        <v>HIGH INCOME</v>
      </c>
      <c r="AO942" s="1" t="str">
        <f>IF(Table1[[#This Row],[MNT_TOTAL]]&gt;=900,"HIGH VALUE","LOW VALUE")</f>
        <v>HIGH VALUE</v>
      </c>
      <c r="AP9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42" s="1"/>
      <c r="AR942" s="1"/>
    </row>
    <row r="943" spans="1:44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58</v>
      </c>
      <c r="X943">
        <v>2212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536</v>
      </c>
      <c r="AJ943">
        <v>494</v>
      </c>
      <c r="AK943">
        <v>0</v>
      </c>
      <c r="AL943">
        <f t="shared" si="14"/>
        <v>578</v>
      </c>
      <c r="AM943">
        <f>IF(OR(Table1[[#This Row],[marital_Married]]=1,Table1[[#This Row],[marital_Together]]=1),1,0)</f>
        <v>0</v>
      </c>
      <c r="AN943" t="str">
        <f>IF(Table1[[#This Row],[Income]]&gt;=70000,"HIGH INCOME","LOW INCOME")</f>
        <v>LOW INCOME</v>
      </c>
      <c r="AO943" s="1" t="str">
        <f>IF(Table1[[#This Row],[MNT_TOTAL]]&gt;=900,"HIGH VALUE","LOW VALUE")</f>
        <v>LOW VALUE</v>
      </c>
      <c r="AP9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43" s="1"/>
      <c r="AR943" s="1"/>
    </row>
    <row r="944" spans="1:44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51</v>
      </c>
      <c r="X944">
        <v>2705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52</v>
      </c>
      <c r="AJ944">
        <v>40</v>
      </c>
      <c r="AK944">
        <v>0</v>
      </c>
      <c r="AL944">
        <f t="shared" si="14"/>
        <v>64</v>
      </c>
      <c r="AM944">
        <f>IF(OR(Table1[[#This Row],[marital_Married]]=1,Table1[[#This Row],[marital_Together]]=1),1,0)</f>
        <v>1</v>
      </c>
      <c r="AN944" t="str">
        <f>IF(Table1[[#This Row],[Income]]&gt;=70000,"HIGH INCOME","LOW INCOME")</f>
        <v>LOW INCOME</v>
      </c>
      <c r="AO944" s="1" t="str">
        <f>IF(Table1[[#This Row],[MNT_TOTAL]]&gt;=900,"HIGH VALUE","LOW VALUE")</f>
        <v>LOW VALUE</v>
      </c>
      <c r="AP9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4" s="1"/>
      <c r="AR944" s="1"/>
    </row>
    <row r="945" spans="1:44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45</v>
      </c>
      <c r="X945">
        <v>2417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147</v>
      </c>
      <c r="AJ945">
        <v>145</v>
      </c>
      <c r="AK945">
        <v>0</v>
      </c>
      <c r="AL945">
        <f t="shared" si="14"/>
        <v>149</v>
      </c>
      <c r="AM945">
        <f>IF(OR(Table1[[#This Row],[marital_Married]]=1,Table1[[#This Row],[marital_Together]]=1),1,0)</f>
        <v>1</v>
      </c>
      <c r="AN945" t="str">
        <f>IF(Table1[[#This Row],[Income]]&gt;=70000,"HIGH INCOME","LOW INCOME")</f>
        <v>LOW INCOME</v>
      </c>
      <c r="AO945" s="1" t="str">
        <f>IF(Table1[[#This Row],[MNT_TOTAL]]&gt;=900,"HIGH VALUE","LOW VALUE")</f>
        <v>LOW VALUE</v>
      </c>
      <c r="AP9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5" s="1"/>
      <c r="AR945" s="1"/>
    </row>
    <row r="946" spans="1:44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40</v>
      </c>
      <c r="X946">
        <v>2163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216</v>
      </c>
      <c r="AJ946">
        <v>201</v>
      </c>
      <c r="AK946">
        <v>0</v>
      </c>
      <c r="AL946">
        <f t="shared" si="14"/>
        <v>231</v>
      </c>
      <c r="AM946">
        <f>IF(OR(Table1[[#This Row],[marital_Married]]=1,Table1[[#This Row],[marital_Together]]=1),1,0)</f>
        <v>1</v>
      </c>
      <c r="AN946" t="str">
        <f>IF(Table1[[#This Row],[Income]]&gt;=70000,"HIGH INCOME","LOW INCOME")</f>
        <v>LOW INCOME</v>
      </c>
      <c r="AO946" s="1" t="str">
        <f>IF(Table1[[#This Row],[MNT_TOTAL]]&gt;=900,"HIGH VALUE","LOW VALUE")</f>
        <v>LOW VALUE</v>
      </c>
      <c r="AP9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6" s="1"/>
      <c r="AR946" s="1"/>
    </row>
    <row r="947" spans="1:44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61</v>
      </c>
      <c r="X947">
        <v>2449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597</v>
      </c>
      <c r="AJ947">
        <v>466</v>
      </c>
      <c r="AK947">
        <v>0</v>
      </c>
      <c r="AL947">
        <f t="shared" si="14"/>
        <v>728</v>
      </c>
      <c r="AM947">
        <f>IF(OR(Table1[[#This Row],[marital_Married]]=1,Table1[[#This Row],[marital_Together]]=1),1,0)</f>
        <v>1</v>
      </c>
      <c r="AN947" t="str">
        <f>IF(Table1[[#This Row],[Income]]&gt;=70000,"HIGH INCOME","LOW INCOME")</f>
        <v>LOW INCOME</v>
      </c>
      <c r="AO947" s="1" t="str">
        <f>IF(Table1[[#This Row],[MNT_TOTAL]]&gt;=900,"HIGH VALUE","LOW VALUE")</f>
        <v>LOW VALUE</v>
      </c>
      <c r="AP9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7" s="1"/>
      <c r="AR947" s="1"/>
    </row>
    <row r="948" spans="1:44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1</v>
      </c>
      <c r="W948">
        <v>47</v>
      </c>
      <c r="X948">
        <v>2473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1694</v>
      </c>
      <c r="AJ948">
        <v>1610</v>
      </c>
      <c r="AK948">
        <v>2</v>
      </c>
      <c r="AL948">
        <f t="shared" si="14"/>
        <v>1778</v>
      </c>
      <c r="AM948">
        <f>IF(OR(Table1[[#This Row],[marital_Married]]=1,Table1[[#This Row],[marital_Together]]=1),1,0)</f>
        <v>1</v>
      </c>
      <c r="AN948" t="str">
        <f>IF(Table1[[#This Row],[Income]]&gt;=70000,"HIGH INCOME","LOW INCOME")</f>
        <v>HIGH INCOME</v>
      </c>
      <c r="AO948" s="1" t="str">
        <f>IF(Table1[[#This Row],[MNT_TOTAL]]&gt;=900,"HIGH VALUE","LOW VALUE")</f>
        <v>HIGH VALUE</v>
      </c>
      <c r="AP9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48" s="1"/>
      <c r="AR948" s="1"/>
    </row>
    <row r="949" spans="1:44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47</v>
      </c>
      <c r="X949">
        <v>2784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81</v>
      </c>
      <c r="AJ949">
        <v>69</v>
      </c>
      <c r="AK949">
        <v>0</v>
      </c>
      <c r="AL949">
        <f t="shared" si="14"/>
        <v>93</v>
      </c>
      <c r="AM949">
        <f>IF(OR(Table1[[#This Row],[marital_Married]]=1,Table1[[#This Row],[marital_Together]]=1),1,0)</f>
        <v>1</v>
      </c>
      <c r="AN949" t="str">
        <f>IF(Table1[[#This Row],[Income]]&gt;=70000,"HIGH INCOME","LOW INCOME")</f>
        <v>LOW INCOME</v>
      </c>
      <c r="AO949" s="1" t="str">
        <f>IF(Table1[[#This Row],[MNT_TOTAL]]&gt;=900,"HIGH VALUE","LOW VALUE")</f>
        <v>LOW VALUE</v>
      </c>
      <c r="AP9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49" s="1"/>
      <c r="AR949" s="1"/>
    </row>
    <row r="950" spans="1:44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46</v>
      </c>
      <c r="X950">
        <v>2601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16</v>
      </c>
      <c r="AJ950">
        <v>9</v>
      </c>
      <c r="AK950">
        <v>0</v>
      </c>
      <c r="AL950">
        <f t="shared" si="14"/>
        <v>23</v>
      </c>
      <c r="AM950">
        <f>IF(OR(Table1[[#This Row],[marital_Married]]=1,Table1[[#This Row],[marital_Together]]=1),1,0)</f>
        <v>1</v>
      </c>
      <c r="AN950" t="str">
        <f>IF(Table1[[#This Row],[Income]]&gt;=70000,"HIGH INCOME","LOW INCOME")</f>
        <v>LOW INCOME</v>
      </c>
      <c r="AO950" s="1" t="str">
        <f>IF(Table1[[#This Row],[MNT_TOTAL]]&gt;=900,"HIGH VALUE","LOW VALUE")</f>
        <v>LOW VALUE</v>
      </c>
      <c r="AP9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50" s="1"/>
      <c r="AR950" s="1"/>
    </row>
    <row r="951" spans="1:44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40</v>
      </c>
      <c r="X951">
        <v>2783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614</v>
      </c>
      <c r="AJ951">
        <v>566</v>
      </c>
      <c r="AK951">
        <v>0</v>
      </c>
      <c r="AL951">
        <f t="shared" si="14"/>
        <v>662</v>
      </c>
      <c r="AM951">
        <f>IF(OR(Table1[[#This Row],[marital_Married]]=1,Table1[[#This Row],[marital_Together]]=1),1,0)</f>
        <v>1</v>
      </c>
      <c r="AN951" t="str">
        <f>IF(Table1[[#This Row],[Income]]&gt;=70000,"HIGH INCOME","LOW INCOME")</f>
        <v>LOW INCOME</v>
      </c>
      <c r="AO951" s="1" t="str">
        <f>IF(Table1[[#This Row],[MNT_TOTAL]]&gt;=900,"HIGH VALUE","LOW VALUE")</f>
        <v>LOW VALUE</v>
      </c>
      <c r="AP9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51" s="1"/>
      <c r="AR951" s="1"/>
    </row>
    <row r="952" spans="1:44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32</v>
      </c>
      <c r="X952">
        <v>2306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1153</v>
      </c>
      <c r="AJ952">
        <v>1108</v>
      </c>
      <c r="AK952">
        <v>0</v>
      </c>
      <c r="AL952">
        <f t="shared" si="14"/>
        <v>1198</v>
      </c>
      <c r="AM952">
        <f>IF(OR(Table1[[#This Row],[marital_Married]]=1,Table1[[#This Row],[marital_Together]]=1),1,0)</f>
        <v>1</v>
      </c>
      <c r="AN952" t="str">
        <f>IF(Table1[[#This Row],[Income]]&gt;=70000,"HIGH INCOME","LOW INCOME")</f>
        <v>HIGH INCOME</v>
      </c>
      <c r="AO952" s="1" t="str">
        <f>IF(Table1[[#This Row],[MNT_TOTAL]]&gt;=900,"HIGH VALUE","LOW VALUE")</f>
        <v>HIGH VALUE</v>
      </c>
      <c r="AP9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52" s="1"/>
      <c r="AR952" s="1"/>
    </row>
    <row r="953" spans="1:44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52</v>
      </c>
      <c r="X953">
        <v>2687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76</v>
      </c>
      <c r="AJ953">
        <v>71</v>
      </c>
      <c r="AK953">
        <v>0</v>
      </c>
      <c r="AL953">
        <f t="shared" si="14"/>
        <v>81</v>
      </c>
      <c r="AM953">
        <f>IF(OR(Table1[[#This Row],[marital_Married]]=1,Table1[[#This Row],[marital_Together]]=1),1,0)</f>
        <v>1</v>
      </c>
      <c r="AN953" t="str">
        <f>IF(Table1[[#This Row],[Income]]&gt;=70000,"HIGH INCOME","LOW INCOME")</f>
        <v>LOW INCOME</v>
      </c>
      <c r="AO953" s="1" t="str">
        <f>IF(Table1[[#This Row],[MNT_TOTAL]]&gt;=900,"HIGH VALUE","LOW VALUE")</f>
        <v>LOW VALUE</v>
      </c>
      <c r="AP9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53" s="1"/>
      <c r="AR953" s="1"/>
    </row>
    <row r="954" spans="1:44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32</v>
      </c>
      <c r="X954">
        <v>2753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66</v>
      </c>
      <c r="AJ954">
        <v>40</v>
      </c>
      <c r="AK954">
        <v>0</v>
      </c>
      <c r="AL954">
        <f t="shared" si="14"/>
        <v>92</v>
      </c>
      <c r="AM954">
        <f>IF(OR(Table1[[#This Row],[marital_Married]]=1,Table1[[#This Row],[marital_Together]]=1),1,0)</f>
        <v>1</v>
      </c>
      <c r="AN954" t="str">
        <f>IF(Table1[[#This Row],[Income]]&gt;=70000,"HIGH INCOME","LOW INCOME")</f>
        <v>LOW INCOME</v>
      </c>
      <c r="AO954" s="1" t="str">
        <f>IF(Table1[[#This Row],[MNT_TOTAL]]&gt;=900,"HIGH VALUE","LOW VALUE")</f>
        <v>LOW VALUE</v>
      </c>
      <c r="AP9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54" s="1"/>
      <c r="AR954" s="1"/>
    </row>
    <row r="955" spans="1:44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61</v>
      </c>
      <c r="X955">
        <v>2383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460</v>
      </c>
      <c r="AJ955">
        <v>429</v>
      </c>
      <c r="AK955">
        <v>0</v>
      </c>
      <c r="AL955">
        <f t="shared" si="14"/>
        <v>491</v>
      </c>
      <c r="AM955">
        <f>IF(OR(Table1[[#This Row],[marital_Married]]=1,Table1[[#This Row],[marital_Together]]=1),1,0)</f>
        <v>0</v>
      </c>
      <c r="AN955" t="str">
        <f>IF(Table1[[#This Row],[Income]]&gt;=70000,"HIGH INCOME","LOW INCOME")</f>
        <v>LOW INCOME</v>
      </c>
      <c r="AO955" s="1" t="str">
        <f>IF(Table1[[#This Row],[MNT_TOTAL]]&gt;=900,"HIGH VALUE","LOW VALUE")</f>
        <v>LOW VALUE</v>
      </c>
      <c r="AP9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55" s="1"/>
      <c r="AR955" s="1"/>
    </row>
    <row r="956" spans="1:44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49</v>
      </c>
      <c r="X956">
        <v>2782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1549</v>
      </c>
      <c r="AJ956">
        <v>1534</v>
      </c>
      <c r="AK956">
        <v>0</v>
      </c>
      <c r="AL956">
        <f t="shared" si="14"/>
        <v>1564</v>
      </c>
      <c r="AM956">
        <f>IF(OR(Table1[[#This Row],[marital_Married]]=1,Table1[[#This Row],[marital_Together]]=1),1,0)</f>
        <v>1</v>
      </c>
      <c r="AN956" t="str">
        <f>IF(Table1[[#This Row],[Income]]&gt;=70000,"HIGH INCOME","LOW INCOME")</f>
        <v>HIGH INCOME</v>
      </c>
      <c r="AO956" s="1" t="str">
        <f>IF(Table1[[#This Row],[MNT_TOTAL]]&gt;=900,"HIGH VALUE","LOW VALUE")</f>
        <v>HIGH VALUE</v>
      </c>
      <c r="AP9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56" s="1"/>
      <c r="AR956" s="1"/>
    </row>
    <row r="957" spans="1:44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58</v>
      </c>
      <c r="X957">
        <v>2305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918</v>
      </c>
      <c r="AJ957">
        <v>910</v>
      </c>
      <c r="AK957">
        <v>0</v>
      </c>
      <c r="AL957">
        <f t="shared" si="14"/>
        <v>926</v>
      </c>
      <c r="AM957">
        <f>IF(OR(Table1[[#This Row],[marital_Married]]=1,Table1[[#This Row],[marital_Together]]=1),1,0)</f>
        <v>1</v>
      </c>
      <c r="AN957" t="str">
        <f>IF(Table1[[#This Row],[Income]]&gt;=70000,"HIGH INCOME","LOW INCOME")</f>
        <v>HIGH INCOME</v>
      </c>
      <c r="AO957" s="1" t="str">
        <f>IF(Table1[[#This Row],[MNT_TOTAL]]&gt;=900,"HIGH VALUE","LOW VALUE")</f>
        <v>HIGH VALUE</v>
      </c>
      <c r="AP9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57" s="1"/>
      <c r="AR957" s="1"/>
    </row>
    <row r="958" spans="1:44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61</v>
      </c>
      <c r="X958">
        <v>2856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1892</v>
      </c>
      <c r="AJ958">
        <v>1874</v>
      </c>
      <c r="AK958">
        <v>1</v>
      </c>
      <c r="AL958">
        <f t="shared" si="14"/>
        <v>1910</v>
      </c>
      <c r="AM958">
        <f>IF(OR(Table1[[#This Row],[marital_Married]]=1,Table1[[#This Row],[marital_Together]]=1),1,0)</f>
        <v>1</v>
      </c>
      <c r="AN958" t="str">
        <f>IF(Table1[[#This Row],[Income]]&gt;=70000,"HIGH INCOME","LOW INCOME")</f>
        <v>HIGH INCOME</v>
      </c>
      <c r="AO958" s="1" t="str">
        <f>IF(Table1[[#This Row],[MNT_TOTAL]]&gt;=900,"HIGH VALUE","LOW VALUE")</f>
        <v>HIGH VALUE</v>
      </c>
      <c r="AP9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58" s="1"/>
      <c r="AR958" s="1"/>
    </row>
    <row r="959" spans="1:44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55</v>
      </c>
      <c r="X959">
        <v>2420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385</v>
      </c>
      <c r="AJ959">
        <v>359</v>
      </c>
      <c r="AK959">
        <v>0</v>
      </c>
      <c r="AL959">
        <f t="shared" si="14"/>
        <v>411</v>
      </c>
      <c r="AM959">
        <f>IF(OR(Table1[[#This Row],[marital_Married]]=1,Table1[[#This Row],[marital_Together]]=1),1,0)</f>
        <v>1</v>
      </c>
      <c r="AN959" t="str">
        <f>IF(Table1[[#This Row],[Income]]&gt;=70000,"HIGH INCOME","LOW INCOME")</f>
        <v>LOW INCOME</v>
      </c>
      <c r="AO959" s="1" t="str">
        <f>IF(Table1[[#This Row],[MNT_TOTAL]]&gt;=900,"HIGH VALUE","LOW VALUE")</f>
        <v>LOW VALUE</v>
      </c>
      <c r="AP9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59" s="1"/>
      <c r="AR959" s="1"/>
    </row>
    <row r="960" spans="1:44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68</v>
      </c>
      <c r="X960">
        <v>2336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64</v>
      </c>
      <c r="AJ960">
        <v>34</v>
      </c>
      <c r="AK960">
        <v>0</v>
      </c>
      <c r="AL960">
        <f t="shared" si="14"/>
        <v>94</v>
      </c>
      <c r="AM960">
        <f>IF(OR(Table1[[#This Row],[marital_Married]]=1,Table1[[#This Row],[marital_Together]]=1),1,0)</f>
        <v>1</v>
      </c>
      <c r="AN960" t="str">
        <f>IF(Table1[[#This Row],[Income]]&gt;=70000,"HIGH INCOME","LOW INCOME")</f>
        <v>LOW INCOME</v>
      </c>
      <c r="AO960" s="1" t="str">
        <f>IF(Table1[[#This Row],[MNT_TOTAL]]&gt;=900,"HIGH VALUE","LOW VALUE")</f>
        <v>LOW VALUE</v>
      </c>
      <c r="AP9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60" s="1"/>
      <c r="AR960" s="1"/>
    </row>
    <row r="961" spans="1:44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66</v>
      </c>
      <c r="X961">
        <v>2449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890</v>
      </c>
      <c r="AJ961">
        <v>695</v>
      </c>
      <c r="AK961">
        <v>1</v>
      </c>
      <c r="AL961">
        <f t="shared" si="14"/>
        <v>1085</v>
      </c>
      <c r="AM961">
        <f>IF(OR(Table1[[#This Row],[marital_Married]]=1,Table1[[#This Row],[marital_Together]]=1),1,0)</f>
        <v>1</v>
      </c>
      <c r="AN961" t="str">
        <f>IF(Table1[[#This Row],[Income]]&gt;=70000,"HIGH INCOME","LOW INCOME")</f>
        <v>LOW INCOME</v>
      </c>
      <c r="AO961" s="1" t="str">
        <f>IF(Table1[[#This Row],[MNT_TOTAL]]&gt;=900,"HIGH VALUE","LOW VALUE")</f>
        <v>HIGH VALUE</v>
      </c>
      <c r="AP9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1" s="1"/>
      <c r="AR961" s="1"/>
    </row>
    <row r="962" spans="1:44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60</v>
      </c>
      <c r="X962">
        <v>2511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16</v>
      </c>
      <c r="AJ962">
        <v>9</v>
      </c>
      <c r="AK962">
        <v>0</v>
      </c>
      <c r="AL962">
        <f t="shared" ref="AL962:AL1025" si="15">SUM(E962:J962)</f>
        <v>23</v>
      </c>
      <c r="AM962">
        <f>IF(OR(Table1[[#This Row],[marital_Married]]=1,Table1[[#This Row],[marital_Together]]=1),1,0)</f>
        <v>0</v>
      </c>
      <c r="AN962" t="str">
        <f>IF(Table1[[#This Row],[Income]]&gt;=70000,"HIGH INCOME","LOW INCOME")</f>
        <v>LOW INCOME</v>
      </c>
      <c r="AO962" s="1" t="str">
        <f>IF(Table1[[#This Row],[MNT_TOTAL]]&gt;=900,"HIGH VALUE","LOW VALUE")</f>
        <v>LOW VALUE</v>
      </c>
      <c r="AP9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2" s="1"/>
      <c r="AR962" s="1"/>
    </row>
    <row r="963" spans="1:44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55</v>
      </c>
      <c r="X963">
        <v>2166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5</v>
      </c>
      <c r="AJ963">
        <v>4</v>
      </c>
      <c r="AK963">
        <v>0</v>
      </c>
      <c r="AL963">
        <f t="shared" si="15"/>
        <v>6</v>
      </c>
      <c r="AM963">
        <f>IF(OR(Table1[[#This Row],[marital_Married]]=1,Table1[[#This Row],[marital_Together]]=1),1,0)</f>
        <v>0</v>
      </c>
      <c r="AN963" t="str">
        <f>IF(Table1[[#This Row],[Income]]&gt;=70000,"HIGH INCOME","LOW INCOME")</f>
        <v>LOW INCOME</v>
      </c>
      <c r="AO963" s="1" t="str">
        <f>IF(Table1[[#This Row],[MNT_TOTAL]]&gt;=900,"HIGH VALUE","LOW VALUE")</f>
        <v>LOW VALUE</v>
      </c>
      <c r="AP9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3" s="1"/>
      <c r="AR963" s="1"/>
    </row>
    <row r="964" spans="1:44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41</v>
      </c>
      <c r="X964">
        <v>2485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43</v>
      </c>
      <c r="AJ964">
        <v>32</v>
      </c>
      <c r="AK964">
        <v>0</v>
      </c>
      <c r="AL964">
        <f t="shared" si="15"/>
        <v>54</v>
      </c>
      <c r="AM964">
        <f>IF(OR(Table1[[#This Row],[marital_Married]]=1,Table1[[#This Row],[marital_Together]]=1),1,0)</f>
        <v>0</v>
      </c>
      <c r="AN964" t="str">
        <f>IF(Table1[[#This Row],[Income]]&gt;=70000,"HIGH INCOME","LOW INCOME")</f>
        <v>LOW INCOME</v>
      </c>
      <c r="AO964" s="1" t="str">
        <f>IF(Table1[[#This Row],[MNT_TOTAL]]&gt;=900,"HIGH VALUE","LOW VALUE")</f>
        <v>LOW VALUE</v>
      </c>
      <c r="AP9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4" s="1"/>
      <c r="AR964" s="1"/>
    </row>
    <row r="965" spans="1:44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42</v>
      </c>
      <c r="X965">
        <v>2417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1096</v>
      </c>
      <c r="AJ965">
        <v>1042</v>
      </c>
      <c r="AK965">
        <v>0</v>
      </c>
      <c r="AL965">
        <f t="shared" si="15"/>
        <v>1150</v>
      </c>
      <c r="AM965">
        <f>IF(OR(Table1[[#This Row],[marital_Married]]=1,Table1[[#This Row],[marital_Together]]=1),1,0)</f>
        <v>0</v>
      </c>
      <c r="AN965" t="str">
        <f>IF(Table1[[#This Row],[Income]]&gt;=70000,"HIGH INCOME","LOW INCOME")</f>
        <v>LOW INCOME</v>
      </c>
      <c r="AO965" s="1" t="str">
        <f>IF(Table1[[#This Row],[MNT_TOTAL]]&gt;=900,"HIGH VALUE","LOW VALUE")</f>
        <v>HIGH VALUE</v>
      </c>
      <c r="AP9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65" s="1"/>
      <c r="AR965" s="1"/>
    </row>
    <row r="966" spans="1:44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1</v>
      </c>
      <c r="W966">
        <v>70</v>
      </c>
      <c r="X966">
        <v>2477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1184</v>
      </c>
      <c r="AJ966">
        <v>953</v>
      </c>
      <c r="AK966">
        <v>2</v>
      </c>
      <c r="AL966">
        <f t="shared" si="15"/>
        <v>1415</v>
      </c>
      <c r="AM966">
        <f>IF(OR(Table1[[#This Row],[marital_Married]]=1,Table1[[#This Row],[marital_Together]]=1),1,0)</f>
        <v>1</v>
      </c>
      <c r="AN966" t="str">
        <f>IF(Table1[[#This Row],[Income]]&gt;=70000,"HIGH INCOME","LOW INCOME")</f>
        <v>HIGH INCOME</v>
      </c>
      <c r="AO966" s="1" t="str">
        <f>IF(Table1[[#This Row],[MNT_TOTAL]]&gt;=900,"HIGH VALUE","LOW VALUE")</f>
        <v>HIGH VALUE</v>
      </c>
      <c r="AP9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66" s="1"/>
      <c r="AR966" s="1"/>
    </row>
    <row r="967" spans="1:44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46</v>
      </c>
      <c r="X967">
        <v>2471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382</v>
      </c>
      <c r="AJ967">
        <v>359</v>
      </c>
      <c r="AK967">
        <v>0</v>
      </c>
      <c r="AL967">
        <f t="shared" si="15"/>
        <v>405</v>
      </c>
      <c r="AM967">
        <f>IF(OR(Table1[[#This Row],[marital_Married]]=1,Table1[[#This Row],[marital_Together]]=1),1,0)</f>
        <v>1</v>
      </c>
      <c r="AN967" t="str">
        <f>IF(Table1[[#This Row],[Income]]&gt;=70000,"HIGH INCOME","LOW INCOME")</f>
        <v>LOW INCOME</v>
      </c>
      <c r="AO967" s="1" t="str">
        <f>IF(Table1[[#This Row],[MNT_TOTAL]]&gt;=900,"HIGH VALUE","LOW VALUE")</f>
        <v>LOW VALUE</v>
      </c>
      <c r="AP9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67" s="1"/>
      <c r="AR967" s="1"/>
    </row>
    <row r="968" spans="1:44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42</v>
      </c>
      <c r="X968">
        <v>2375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1871</v>
      </c>
      <c r="AJ968">
        <v>1834</v>
      </c>
      <c r="AK968">
        <v>0</v>
      </c>
      <c r="AL968">
        <f t="shared" si="15"/>
        <v>1908</v>
      </c>
      <c r="AM968">
        <f>IF(OR(Table1[[#This Row],[marital_Married]]=1,Table1[[#This Row],[marital_Together]]=1),1,0)</f>
        <v>1</v>
      </c>
      <c r="AN968" t="str">
        <f>IF(Table1[[#This Row],[Income]]&gt;=70000,"HIGH INCOME","LOW INCOME")</f>
        <v>HIGH INCOME</v>
      </c>
      <c r="AO968" s="1" t="str">
        <f>IF(Table1[[#This Row],[MNT_TOTAL]]&gt;=900,"HIGH VALUE","LOW VALUE")</f>
        <v>HIGH VALUE</v>
      </c>
      <c r="AP9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68" s="1"/>
      <c r="AR968" s="1"/>
    </row>
    <row r="969" spans="1:44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1</v>
      </c>
      <c r="W969">
        <v>51</v>
      </c>
      <c r="X969">
        <v>2406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2304</v>
      </c>
      <c r="AJ969">
        <v>2122</v>
      </c>
      <c r="AK969">
        <v>3</v>
      </c>
      <c r="AL969">
        <f t="shared" si="15"/>
        <v>2486</v>
      </c>
      <c r="AM969">
        <f>IF(OR(Table1[[#This Row],[marital_Married]]=1,Table1[[#This Row],[marital_Together]]=1),1,0)</f>
        <v>1</v>
      </c>
      <c r="AN969" t="str">
        <f>IF(Table1[[#This Row],[Income]]&gt;=70000,"HIGH INCOME","LOW INCOME")</f>
        <v>HIGH INCOME</v>
      </c>
      <c r="AO969" s="1" t="str">
        <f>IF(Table1[[#This Row],[MNT_TOTAL]]&gt;=900,"HIGH VALUE","LOW VALUE")</f>
        <v>HIGH VALUE</v>
      </c>
      <c r="AP9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69" s="1"/>
      <c r="AR969" s="1"/>
    </row>
    <row r="970" spans="1:44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44</v>
      </c>
      <c r="X970">
        <v>2572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1194</v>
      </c>
      <c r="AJ970">
        <v>1073</v>
      </c>
      <c r="AK970">
        <v>0</v>
      </c>
      <c r="AL970">
        <f t="shared" si="15"/>
        <v>1315</v>
      </c>
      <c r="AM970">
        <f>IF(OR(Table1[[#This Row],[marital_Married]]=1,Table1[[#This Row],[marital_Together]]=1),1,0)</f>
        <v>0</v>
      </c>
      <c r="AN970" t="str">
        <f>IF(Table1[[#This Row],[Income]]&gt;=70000,"HIGH INCOME","LOW INCOME")</f>
        <v>HIGH INCOME</v>
      </c>
      <c r="AO970" s="1" t="str">
        <f>IF(Table1[[#This Row],[MNT_TOTAL]]&gt;=900,"HIGH VALUE","LOW VALUE")</f>
        <v>HIGH VALUE</v>
      </c>
      <c r="AP9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70" s="1"/>
      <c r="AR970" s="1"/>
    </row>
    <row r="971" spans="1:44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64</v>
      </c>
      <c r="X971">
        <v>2159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40</v>
      </c>
      <c r="AJ971">
        <v>35</v>
      </c>
      <c r="AK971">
        <v>0</v>
      </c>
      <c r="AL971">
        <f t="shared" si="15"/>
        <v>45</v>
      </c>
      <c r="AM971">
        <f>IF(OR(Table1[[#This Row],[marital_Married]]=1,Table1[[#This Row],[marital_Together]]=1),1,0)</f>
        <v>0</v>
      </c>
      <c r="AN971" t="str">
        <f>IF(Table1[[#This Row],[Income]]&gt;=70000,"HIGH INCOME","LOW INCOME")</f>
        <v>LOW INCOME</v>
      </c>
      <c r="AO971" s="1" t="str">
        <f>IF(Table1[[#This Row],[MNT_TOTAL]]&gt;=900,"HIGH VALUE","LOW VALUE")</f>
        <v>LOW VALUE</v>
      </c>
      <c r="AP9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71" s="1"/>
      <c r="AR971" s="1"/>
    </row>
    <row r="972" spans="1:44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1</v>
      </c>
      <c r="W972">
        <v>66</v>
      </c>
      <c r="X972">
        <v>2259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1738</v>
      </c>
      <c r="AJ972">
        <v>1687</v>
      </c>
      <c r="AK972">
        <v>4</v>
      </c>
      <c r="AL972">
        <f t="shared" si="15"/>
        <v>1789</v>
      </c>
      <c r="AM972">
        <f>IF(OR(Table1[[#This Row],[marital_Married]]=1,Table1[[#This Row],[marital_Together]]=1),1,0)</f>
        <v>0</v>
      </c>
      <c r="AN972" t="str">
        <f>IF(Table1[[#This Row],[Income]]&gt;=70000,"HIGH INCOME","LOW INCOME")</f>
        <v>HIGH INCOME</v>
      </c>
      <c r="AO972" s="1" t="str">
        <f>IF(Table1[[#This Row],[MNT_TOTAL]]&gt;=900,"HIGH VALUE","LOW VALUE")</f>
        <v>HIGH VALUE</v>
      </c>
      <c r="AP9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72" s="1"/>
      <c r="AR972" s="1"/>
    </row>
    <row r="973" spans="1:44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48</v>
      </c>
      <c r="X973">
        <v>2736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16</v>
      </c>
      <c r="AJ973">
        <v>13</v>
      </c>
      <c r="AK973">
        <v>0</v>
      </c>
      <c r="AL973">
        <f t="shared" si="15"/>
        <v>19</v>
      </c>
      <c r="AM973">
        <f>IF(OR(Table1[[#This Row],[marital_Married]]=1,Table1[[#This Row],[marital_Together]]=1),1,0)</f>
        <v>1</v>
      </c>
      <c r="AN973" t="str">
        <f>IF(Table1[[#This Row],[Income]]&gt;=70000,"HIGH INCOME","LOW INCOME")</f>
        <v>LOW INCOME</v>
      </c>
      <c r="AO973" s="1" t="str">
        <f>IF(Table1[[#This Row],[MNT_TOTAL]]&gt;=900,"HIGH VALUE","LOW VALUE")</f>
        <v>LOW VALUE</v>
      </c>
      <c r="AP9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73" s="1"/>
      <c r="AR973" s="1"/>
    </row>
    <row r="974" spans="1:44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39</v>
      </c>
      <c r="X974">
        <v>2826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546</v>
      </c>
      <c r="AJ974">
        <v>519</v>
      </c>
      <c r="AK974">
        <v>1</v>
      </c>
      <c r="AL974">
        <f t="shared" si="15"/>
        <v>573</v>
      </c>
      <c r="AM974">
        <f>IF(OR(Table1[[#This Row],[marital_Married]]=1,Table1[[#This Row],[marital_Together]]=1),1,0)</f>
        <v>1</v>
      </c>
      <c r="AN974" t="str">
        <f>IF(Table1[[#This Row],[Income]]&gt;=70000,"HIGH INCOME","LOW INCOME")</f>
        <v>LOW INCOME</v>
      </c>
      <c r="AO974" s="1" t="str">
        <f>IF(Table1[[#This Row],[MNT_TOTAL]]&gt;=900,"HIGH VALUE","LOW VALUE")</f>
        <v>LOW VALUE</v>
      </c>
      <c r="AP9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74" s="1"/>
      <c r="AR974" s="1"/>
    </row>
    <row r="975" spans="1:44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31</v>
      </c>
      <c r="X975">
        <v>2290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735</v>
      </c>
      <c r="AJ975">
        <v>665</v>
      </c>
      <c r="AK975">
        <v>0</v>
      </c>
      <c r="AL975">
        <f t="shared" si="15"/>
        <v>805</v>
      </c>
      <c r="AM975">
        <f>IF(OR(Table1[[#This Row],[marital_Married]]=1,Table1[[#This Row],[marital_Together]]=1),1,0)</f>
        <v>0</v>
      </c>
      <c r="AN975" t="str">
        <f>IF(Table1[[#This Row],[Income]]&gt;=70000,"HIGH INCOME","LOW INCOME")</f>
        <v>LOW INCOME</v>
      </c>
      <c r="AO975" s="1" t="str">
        <f>IF(Table1[[#This Row],[MNT_TOTAL]]&gt;=900,"HIGH VALUE","LOW VALUE")</f>
        <v>LOW VALUE</v>
      </c>
      <c r="AP9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75" s="1"/>
      <c r="AR975" s="1"/>
    </row>
    <row r="976" spans="1:44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66</v>
      </c>
      <c r="X976">
        <v>2166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88</v>
      </c>
      <c r="AJ976">
        <v>68</v>
      </c>
      <c r="AK976">
        <v>0</v>
      </c>
      <c r="AL976">
        <f t="shared" si="15"/>
        <v>108</v>
      </c>
      <c r="AM976">
        <f>IF(OR(Table1[[#This Row],[marital_Married]]=1,Table1[[#This Row],[marital_Together]]=1),1,0)</f>
        <v>0</v>
      </c>
      <c r="AN976" t="str">
        <f>IF(Table1[[#This Row],[Income]]&gt;=70000,"HIGH INCOME","LOW INCOME")</f>
        <v>LOW INCOME</v>
      </c>
      <c r="AO976" s="1" t="str">
        <f>IF(Table1[[#This Row],[MNT_TOTAL]]&gt;=900,"HIGH VALUE","LOW VALUE")</f>
        <v>LOW VALUE</v>
      </c>
      <c r="AP9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76" s="1"/>
      <c r="AR976" s="1"/>
    </row>
    <row r="977" spans="1:44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25</v>
      </c>
      <c r="X977">
        <v>2254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19</v>
      </c>
      <c r="AJ977">
        <v>15</v>
      </c>
      <c r="AK977">
        <v>0</v>
      </c>
      <c r="AL977">
        <f t="shared" si="15"/>
        <v>23</v>
      </c>
      <c r="AM977">
        <f>IF(OR(Table1[[#This Row],[marital_Married]]=1,Table1[[#This Row],[marital_Together]]=1),1,0)</f>
        <v>0</v>
      </c>
      <c r="AN977" t="str">
        <f>IF(Table1[[#This Row],[Income]]&gt;=70000,"HIGH INCOME","LOW INCOME")</f>
        <v>LOW INCOME</v>
      </c>
      <c r="AO977" s="1" t="str">
        <f>IF(Table1[[#This Row],[MNT_TOTAL]]&gt;=900,"HIGH VALUE","LOW VALUE")</f>
        <v>LOW VALUE</v>
      </c>
      <c r="AP9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77" s="1"/>
      <c r="AR977" s="1"/>
    </row>
    <row r="978" spans="1:44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42</v>
      </c>
      <c r="X978">
        <v>2391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1493</v>
      </c>
      <c r="AJ978">
        <v>1493</v>
      </c>
      <c r="AK978">
        <v>1</v>
      </c>
      <c r="AL978">
        <f t="shared" si="15"/>
        <v>1493</v>
      </c>
      <c r="AM978">
        <f>IF(OR(Table1[[#This Row],[marital_Married]]=1,Table1[[#This Row],[marital_Together]]=1),1,0)</f>
        <v>1</v>
      </c>
      <c r="AN978" t="str">
        <f>IF(Table1[[#This Row],[Income]]&gt;=70000,"HIGH INCOME","LOW INCOME")</f>
        <v>HIGH INCOME</v>
      </c>
      <c r="AO978" s="1" t="str">
        <f>IF(Table1[[#This Row],[MNT_TOTAL]]&gt;=900,"HIGH VALUE","LOW VALUE")</f>
        <v>HIGH VALUE</v>
      </c>
      <c r="AP9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78" s="1"/>
      <c r="AR978" s="1"/>
    </row>
    <row r="979" spans="1:44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63</v>
      </c>
      <c r="X979">
        <v>2283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69</v>
      </c>
      <c r="AJ979">
        <v>49</v>
      </c>
      <c r="AK979">
        <v>0</v>
      </c>
      <c r="AL979">
        <f t="shared" si="15"/>
        <v>89</v>
      </c>
      <c r="AM979">
        <f>IF(OR(Table1[[#This Row],[marital_Married]]=1,Table1[[#This Row],[marital_Together]]=1),1,0)</f>
        <v>1</v>
      </c>
      <c r="AN979" t="str">
        <f>IF(Table1[[#This Row],[Income]]&gt;=70000,"HIGH INCOME","LOW INCOME")</f>
        <v>LOW INCOME</v>
      </c>
      <c r="AO979" s="1" t="str">
        <f>IF(Table1[[#This Row],[MNT_TOTAL]]&gt;=900,"HIGH VALUE","LOW VALUE")</f>
        <v>LOW VALUE</v>
      </c>
      <c r="AP9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79" s="1"/>
      <c r="AR979" s="1"/>
    </row>
    <row r="980" spans="1:44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47</v>
      </c>
      <c r="X980">
        <v>2479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872</v>
      </c>
      <c r="AJ980">
        <v>808</v>
      </c>
      <c r="AK980">
        <v>1</v>
      </c>
      <c r="AL980">
        <f t="shared" si="15"/>
        <v>936</v>
      </c>
      <c r="AM980">
        <f>IF(OR(Table1[[#This Row],[marital_Married]]=1,Table1[[#This Row],[marital_Together]]=1),1,0)</f>
        <v>1</v>
      </c>
      <c r="AN980" t="str">
        <f>IF(Table1[[#This Row],[Income]]&gt;=70000,"HIGH INCOME","LOW INCOME")</f>
        <v>LOW INCOME</v>
      </c>
      <c r="AO980" s="1" t="str">
        <f>IF(Table1[[#This Row],[MNT_TOTAL]]&gt;=900,"HIGH VALUE","LOW VALUE")</f>
        <v>HIGH VALUE</v>
      </c>
      <c r="AP9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80" s="1"/>
      <c r="AR980" s="1"/>
    </row>
    <row r="981" spans="1:44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64</v>
      </c>
      <c r="X981">
        <v>2397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293</v>
      </c>
      <c r="AJ981">
        <v>243</v>
      </c>
      <c r="AK981">
        <v>0</v>
      </c>
      <c r="AL981">
        <f t="shared" si="15"/>
        <v>343</v>
      </c>
      <c r="AM981">
        <f>IF(OR(Table1[[#This Row],[marital_Married]]=1,Table1[[#This Row],[marital_Together]]=1),1,0)</f>
        <v>0</v>
      </c>
      <c r="AN981" t="str">
        <f>IF(Table1[[#This Row],[Income]]&gt;=70000,"HIGH INCOME","LOW INCOME")</f>
        <v>LOW INCOME</v>
      </c>
      <c r="AO981" s="1" t="str">
        <f>IF(Table1[[#This Row],[MNT_TOTAL]]&gt;=900,"HIGH VALUE","LOW VALUE")</f>
        <v>LOW VALUE</v>
      </c>
      <c r="AP9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81" s="1"/>
      <c r="AR981" s="1"/>
    </row>
    <row r="982" spans="1:44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64</v>
      </c>
      <c r="X982">
        <v>2816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490</v>
      </c>
      <c r="AJ982">
        <v>452</v>
      </c>
      <c r="AK982">
        <v>2</v>
      </c>
      <c r="AL982">
        <f t="shared" si="15"/>
        <v>528</v>
      </c>
      <c r="AM982">
        <f>IF(OR(Table1[[#This Row],[marital_Married]]=1,Table1[[#This Row],[marital_Together]]=1),1,0)</f>
        <v>0</v>
      </c>
      <c r="AN982" t="str">
        <f>IF(Table1[[#This Row],[Income]]&gt;=70000,"HIGH INCOME","LOW INCOME")</f>
        <v>HIGH INCOME</v>
      </c>
      <c r="AO982" s="1" t="str">
        <f>IF(Table1[[#This Row],[MNT_TOTAL]]&gt;=900,"HIGH VALUE","LOW VALUE")</f>
        <v>LOW VALUE</v>
      </c>
      <c r="AP9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82" s="1"/>
      <c r="AR982" s="1"/>
    </row>
    <row r="983" spans="1:44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1</v>
      </c>
      <c r="W983">
        <v>33</v>
      </c>
      <c r="X983">
        <v>2422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1881</v>
      </c>
      <c r="AJ983">
        <v>1861</v>
      </c>
      <c r="AK983">
        <v>2</v>
      </c>
      <c r="AL983">
        <f t="shared" si="15"/>
        <v>1901</v>
      </c>
      <c r="AM983">
        <f>IF(OR(Table1[[#This Row],[marital_Married]]=1,Table1[[#This Row],[marital_Together]]=1),1,0)</f>
        <v>0</v>
      </c>
      <c r="AN983" t="str">
        <f>IF(Table1[[#This Row],[Income]]&gt;=70000,"HIGH INCOME","LOW INCOME")</f>
        <v>HIGH INCOME</v>
      </c>
      <c r="AO983" s="1" t="str">
        <f>IF(Table1[[#This Row],[MNT_TOTAL]]&gt;=900,"HIGH VALUE","LOW VALUE")</f>
        <v>HIGH VALUE</v>
      </c>
      <c r="AP9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983" s="1"/>
      <c r="AR983" s="1"/>
    </row>
    <row r="984" spans="1:44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1</v>
      </c>
      <c r="W984">
        <v>39</v>
      </c>
      <c r="X984">
        <v>2618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542</v>
      </c>
      <c r="AJ984">
        <v>360</v>
      </c>
      <c r="AK984">
        <v>2</v>
      </c>
      <c r="AL984">
        <f t="shared" si="15"/>
        <v>724</v>
      </c>
      <c r="AM984">
        <f>IF(OR(Table1[[#This Row],[marital_Married]]=1,Table1[[#This Row],[marital_Together]]=1),1,0)</f>
        <v>1</v>
      </c>
      <c r="AN984" t="str">
        <f>IF(Table1[[#This Row],[Income]]&gt;=70000,"HIGH INCOME","LOW INCOME")</f>
        <v>LOW INCOME</v>
      </c>
      <c r="AO984" s="1" t="str">
        <f>IF(Table1[[#This Row],[MNT_TOTAL]]&gt;=900,"HIGH VALUE","LOW VALUE")</f>
        <v>LOW VALUE</v>
      </c>
      <c r="AP9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84" s="1"/>
      <c r="AR984" s="1"/>
    </row>
    <row r="985" spans="1:44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33</v>
      </c>
      <c r="X985">
        <v>2660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43</v>
      </c>
      <c r="AJ985">
        <v>28</v>
      </c>
      <c r="AK985">
        <v>0</v>
      </c>
      <c r="AL985">
        <f t="shared" si="15"/>
        <v>58</v>
      </c>
      <c r="AM985">
        <f>IF(OR(Table1[[#This Row],[marital_Married]]=1,Table1[[#This Row],[marital_Together]]=1),1,0)</f>
        <v>1</v>
      </c>
      <c r="AN985" t="str">
        <f>IF(Table1[[#This Row],[Income]]&gt;=70000,"HIGH INCOME","LOW INCOME")</f>
        <v>LOW INCOME</v>
      </c>
      <c r="AO985" s="1" t="str">
        <f>IF(Table1[[#This Row],[MNT_TOTAL]]&gt;=900,"HIGH VALUE","LOW VALUE")</f>
        <v>LOW VALUE</v>
      </c>
      <c r="AP9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85" s="1"/>
      <c r="AR985" s="1"/>
    </row>
    <row r="986" spans="1:44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66</v>
      </c>
      <c r="X986">
        <v>2567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258</v>
      </c>
      <c r="AJ986">
        <v>219</v>
      </c>
      <c r="AK986">
        <v>0</v>
      </c>
      <c r="AL986">
        <f t="shared" si="15"/>
        <v>297</v>
      </c>
      <c r="AM986">
        <f>IF(OR(Table1[[#This Row],[marital_Married]]=1,Table1[[#This Row],[marital_Together]]=1),1,0)</f>
        <v>1</v>
      </c>
      <c r="AN986" t="str">
        <f>IF(Table1[[#This Row],[Income]]&gt;=70000,"HIGH INCOME","LOW INCOME")</f>
        <v>LOW INCOME</v>
      </c>
      <c r="AO986" s="1" t="str">
        <f>IF(Table1[[#This Row],[MNT_TOTAL]]&gt;=900,"HIGH VALUE","LOW VALUE")</f>
        <v>LOW VALUE</v>
      </c>
      <c r="AP9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86" s="1"/>
      <c r="AR986" s="1"/>
    </row>
    <row r="987" spans="1:44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66</v>
      </c>
      <c r="X987">
        <v>2671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451</v>
      </c>
      <c r="AJ987">
        <v>414</v>
      </c>
      <c r="AK987">
        <v>1</v>
      </c>
      <c r="AL987">
        <f t="shared" si="15"/>
        <v>488</v>
      </c>
      <c r="AM987">
        <f>IF(OR(Table1[[#This Row],[marital_Married]]=1,Table1[[#This Row],[marital_Together]]=1),1,0)</f>
        <v>0</v>
      </c>
      <c r="AN987" t="str">
        <f>IF(Table1[[#This Row],[Income]]&gt;=70000,"HIGH INCOME","LOW INCOME")</f>
        <v>LOW INCOME</v>
      </c>
      <c r="AO987" s="1" t="str">
        <f>IF(Table1[[#This Row],[MNT_TOTAL]]&gt;=900,"HIGH VALUE","LOW VALUE")</f>
        <v>LOW VALUE</v>
      </c>
      <c r="AP9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87" s="1"/>
      <c r="AR987" s="1"/>
    </row>
    <row r="988" spans="1:44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67</v>
      </c>
      <c r="X988">
        <v>2760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789</v>
      </c>
      <c r="AJ988">
        <v>719</v>
      </c>
      <c r="AK988">
        <v>0</v>
      </c>
      <c r="AL988">
        <f t="shared" si="15"/>
        <v>859</v>
      </c>
      <c r="AM988">
        <f>IF(OR(Table1[[#This Row],[marital_Married]]=1,Table1[[#This Row],[marital_Together]]=1),1,0)</f>
        <v>1</v>
      </c>
      <c r="AN988" t="str">
        <f>IF(Table1[[#This Row],[Income]]&gt;=70000,"HIGH INCOME","LOW INCOME")</f>
        <v>LOW INCOME</v>
      </c>
      <c r="AO988" s="1" t="str">
        <f>IF(Table1[[#This Row],[MNT_TOTAL]]&gt;=900,"HIGH VALUE","LOW VALUE")</f>
        <v>LOW VALUE</v>
      </c>
      <c r="AP9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88" s="1"/>
      <c r="AR988" s="1"/>
    </row>
    <row r="989" spans="1:44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68</v>
      </c>
      <c r="X989">
        <v>2572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1383</v>
      </c>
      <c r="AJ989">
        <v>1192</v>
      </c>
      <c r="AK989">
        <v>1</v>
      </c>
      <c r="AL989">
        <f t="shared" si="15"/>
        <v>1574</v>
      </c>
      <c r="AM989">
        <f>IF(OR(Table1[[#This Row],[marital_Married]]=1,Table1[[#This Row],[marital_Together]]=1),1,0)</f>
        <v>1</v>
      </c>
      <c r="AN989" t="str">
        <f>IF(Table1[[#This Row],[Income]]&gt;=70000,"HIGH INCOME","LOW INCOME")</f>
        <v>HIGH INCOME</v>
      </c>
      <c r="AO989" s="1" t="str">
        <f>IF(Table1[[#This Row],[MNT_TOTAL]]&gt;=900,"HIGH VALUE","LOW VALUE")</f>
        <v>HIGH VALUE</v>
      </c>
      <c r="AP9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89" s="1"/>
      <c r="AR989" s="1"/>
    </row>
    <row r="990" spans="1:44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52</v>
      </c>
      <c r="X990">
        <v>2313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41</v>
      </c>
      <c r="AJ990">
        <v>13</v>
      </c>
      <c r="AK990">
        <v>1</v>
      </c>
      <c r="AL990">
        <f t="shared" si="15"/>
        <v>69</v>
      </c>
      <c r="AM990">
        <f>IF(OR(Table1[[#This Row],[marital_Married]]=1,Table1[[#This Row],[marital_Together]]=1),1,0)</f>
        <v>1</v>
      </c>
      <c r="AN990" t="str">
        <f>IF(Table1[[#This Row],[Income]]&gt;=70000,"HIGH INCOME","LOW INCOME")</f>
        <v>LOW INCOME</v>
      </c>
      <c r="AO990" s="1" t="str">
        <f>IF(Table1[[#This Row],[MNT_TOTAL]]&gt;=900,"HIGH VALUE","LOW VALUE")</f>
        <v>LOW VALUE</v>
      </c>
      <c r="AP9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0" s="1"/>
      <c r="AR990" s="1"/>
    </row>
    <row r="991" spans="1:44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57</v>
      </c>
      <c r="X991">
        <v>2574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13</v>
      </c>
      <c r="AJ991">
        <v>9</v>
      </c>
      <c r="AK991">
        <v>0</v>
      </c>
      <c r="AL991">
        <f t="shared" si="15"/>
        <v>17</v>
      </c>
      <c r="AM991">
        <f>IF(OR(Table1[[#This Row],[marital_Married]]=1,Table1[[#This Row],[marital_Together]]=1),1,0)</f>
        <v>0</v>
      </c>
      <c r="AN991" t="str">
        <f>IF(Table1[[#This Row],[Income]]&gt;=70000,"HIGH INCOME","LOW INCOME")</f>
        <v>LOW INCOME</v>
      </c>
      <c r="AO991" s="1" t="str">
        <f>IF(Table1[[#This Row],[MNT_TOTAL]]&gt;=900,"HIGH VALUE","LOW VALUE")</f>
        <v>LOW VALUE</v>
      </c>
      <c r="AP9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91" s="1"/>
      <c r="AR991" s="1"/>
    </row>
    <row r="992" spans="1:44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41</v>
      </c>
      <c r="X992">
        <v>2832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2036</v>
      </c>
      <c r="AJ992">
        <v>1878</v>
      </c>
      <c r="AK992">
        <v>3</v>
      </c>
      <c r="AL992">
        <f t="shared" si="15"/>
        <v>2194</v>
      </c>
      <c r="AM992">
        <f>IF(OR(Table1[[#This Row],[marital_Married]]=1,Table1[[#This Row],[marital_Together]]=1),1,0)</f>
        <v>1</v>
      </c>
      <c r="AN992" t="str">
        <f>IF(Table1[[#This Row],[Income]]&gt;=70000,"HIGH INCOME","LOW INCOME")</f>
        <v>HIGH INCOME</v>
      </c>
      <c r="AO992" s="1" t="str">
        <f>IF(Table1[[#This Row],[MNT_TOTAL]]&gt;=900,"HIGH VALUE","LOW VALUE")</f>
        <v>HIGH VALUE</v>
      </c>
      <c r="AP9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92" s="1"/>
      <c r="AR992" s="1"/>
    </row>
    <row r="993" spans="1:44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44</v>
      </c>
      <c r="X993">
        <v>2328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116</v>
      </c>
      <c r="AJ993">
        <v>116</v>
      </c>
      <c r="AK993">
        <v>0</v>
      </c>
      <c r="AL993">
        <f t="shared" si="15"/>
        <v>116</v>
      </c>
      <c r="AM993">
        <f>IF(OR(Table1[[#This Row],[marital_Married]]=1,Table1[[#This Row],[marital_Together]]=1),1,0)</f>
        <v>1</v>
      </c>
      <c r="AN993" t="str">
        <f>IF(Table1[[#This Row],[Income]]&gt;=70000,"HIGH INCOME","LOW INCOME")</f>
        <v>LOW INCOME</v>
      </c>
      <c r="AO993" s="1" t="str">
        <f>IF(Table1[[#This Row],[MNT_TOTAL]]&gt;=900,"HIGH VALUE","LOW VALUE")</f>
        <v>LOW VALUE</v>
      </c>
      <c r="AP9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3" s="1"/>
      <c r="AR993" s="1"/>
    </row>
    <row r="994" spans="1:44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42</v>
      </c>
      <c r="X994">
        <v>2638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252</v>
      </c>
      <c r="AJ994">
        <v>225</v>
      </c>
      <c r="AK994">
        <v>0</v>
      </c>
      <c r="AL994">
        <f t="shared" si="15"/>
        <v>279</v>
      </c>
      <c r="AM994">
        <f>IF(OR(Table1[[#This Row],[marital_Married]]=1,Table1[[#This Row],[marital_Together]]=1),1,0)</f>
        <v>0</v>
      </c>
      <c r="AN994" t="str">
        <f>IF(Table1[[#This Row],[Income]]&gt;=70000,"HIGH INCOME","LOW INCOME")</f>
        <v>LOW INCOME</v>
      </c>
      <c r="AO994" s="1" t="str">
        <f>IF(Table1[[#This Row],[MNT_TOTAL]]&gt;=900,"HIGH VALUE","LOW VALUE")</f>
        <v>LOW VALUE</v>
      </c>
      <c r="AP9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994" s="1"/>
      <c r="AR994" s="1"/>
    </row>
    <row r="995" spans="1:44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52</v>
      </c>
      <c r="X995">
        <v>2816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91</v>
      </c>
      <c r="AJ995">
        <v>79</v>
      </c>
      <c r="AK995">
        <v>0</v>
      </c>
      <c r="AL995">
        <f t="shared" si="15"/>
        <v>103</v>
      </c>
      <c r="AM995">
        <f>IF(OR(Table1[[#This Row],[marital_Married]]=1,Table1[[#This Row],[marital_Together]]=1),1,0)</f>
        <v>1</v>
      </c>
      <c r="AN995" t="str">
        <f>IF(Table1[[#This Row],[Income]]&gt;=70000,"HIGH INCOME","LOW INCOME")</f>
        <v>LOW INCOME</v>
      </c>
      <c r="AO995" s="1" t="str">
        <f>IF(Table1[[#This Row],[MNT_TOTAL]]&gt;=900,"HIGH VALUE","LOW VALUE")</f>
        <v>LOW VALUE</v>
      </c>
      <c r="AP9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5" s="1"/>
      <c r="AR995" s="1"/>
    </row>
    <row r="996" spans="1:44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49</v>
      </c>
      <c r="X996">
        <v>2231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41</v>
      </c>
      <c r="AJ996">
        <v>38</v>
      </c>
      <c r="AK996">
        <v>0</v>
      </c>
      <c r="AL996">
        <f t="shared" si="15"/>
        <v>44</v>
      </c>
      <c r="AM996">
        <f>IF(OR(Table1[[#This Row],[marital_Married]]=1,Table1[[#This Row],[marital_Together]]=1),1,0)</f>
        <v>1</v>
      </c>
      <c r="AN996" t="str">
        <f>IF(Table1[[#This Row],[Income]]&gt;=70000,"HIGH INCOME","LOW INCOME")</f>
        <v>LOW INCOME</v>
      </c>
      <c r="AO996" s="1" t="str">
        <f>IF(Table1[[#This Row],[MNT_TOTAL]]&gt;=900,"HIGH VALUE","LOW VALUE")</f>
        <v>LOW VALUE</v>
      </c>
      <c r="AP9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6" s="1"/>
      <c r="AR996" s="1"/>
    </row>
    <row r="997" spans="1:44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69</v>
      </c>
      <c r="X997">
        <v>2230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395</v>
      </c>
      <c r="AJ997">
        <v>384</v>
      </c>
      <c r="AK997">
        <v>0</v>
      </c>
      <c r="AL997">
        <f t="shared" si="15"/>
        <v>406</v>
      </c>
      <c r="AM997">
        <f>IF(OR(Table1[[#This Row],[marital_Married]]=1,Table1[[#This Row],[marital_Together]]=1),1,0)</f>
        <v>1</v>
      </c>
      <c r="AN997" t="str">
        <f>IF(Table1[[#This Row],[Income]]&gt;=70000,"HIGH INCOME","LOW INCOME")</f>
        <v>LOW INCOME</v>
      </c>
      <c r="AO997" s="1" t="str">
        <f>IF(Table1[[#This Row],[MNT_TOTAL]]&gt;=900,"HIGH VALUE","LOW VALUE")</f>
        <v>LOW VALUE</v>
      </c>
      <c r="AP9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7" s="1"/>
      <c r="AR997" s="1"/>
    </row>
    <row r="998" spans="1:44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55</v>
      </c>
      <c r="X998">
        <v>2242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1287</v>
      </c>
      <c r="AJ998">
        <v>1211</v>
      </c>
      <c r="AK998">
        <v>1</v>
      </c>
      <c r="AL998">
        <f t="shared" si="15"/>
        <v>1363</v>
      </c>
      <c r="AM998">
        <f>IF(OR(Table1[[#This Row],[marital_Married]]=1,Table1[[#This Row],[marital_Together]]=1),1,0)</f>
        <v>1</v>
      </c>
      <c r="AN998" t="str">
        <f>IF(Table1[[#This Row],[Income]]&gt;=70000,"HIGH INCOME","LOW INCOME")</f>
        <v>HIGH INCOME</v>
      </c>
      <c r="AO998" s="1" t="str">
        <f>IF(Table1[[#This Row],[MNT_TOTAL]]&gt;=900,"HIGH VALUE","LOW VALUE")</f>
        <v>HIGH VALUE</v>
      </c>
      <c r="AP9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998" s="1"/>
      <c r="AR998" s="1"/>
    </row>
    <row r="999" spans="1:44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51</v>
      </c>
      <c r="X999">
        <v>2556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225</v>
      </c>
      <c r="AJ999">
        <v>214</v>
      </c>
      <c r="AK999">
        <v>0</v>
      </c>
      <c r="AL999">
        <f t="shared" si="15"/>
        <v>236</v>
      </c>
      <c r="AM999">
        <f>IF(OR(Table1[[#This Row],[marital_Married]]=1,Table1[[#This Row],[marital_Together]]=1),1,0)</f>
        <v>1</v>
      </c>
      <c r="AN999" t="str">
        <f>IF(Table1[[#This Row],[Income]]&gt;=70000,"HIGH INCOME","LOW INCOME")</f>
        <v>LOW INCOME</v>
      </c>
      <c r="AO999" s="1" t="str">
        <f>IF(Table1[[#This Row],[MNT_TOTAL]]&gt;=900,"HIGH VALUE","LOW VALUE")</f>
        <v>LOW VALUE</v>
      </c>
      <c r="AP9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999" s="1"/>
      <c r="AR999" s="1"/>
    </row>
    <row r="1000" spans="1:44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47</v>
      </c>
      <c r="X1000">
        <v>2701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33</v>
      </c>
      <c r="AJ1000">
        <v>27</v>
      </c>
      <c r="AK1000">
        <v>0</v>
      </c>
      <c r="AL1000">
        <f t="shared" si="15"/>
        <v>39</v>
      </c>
      <c r="AM1000">
        <f>IF(OR(Table1[[#This Row],[marital_Married]]=1,Table1[[#This Row],[marital_Together]]=1),1,0)</f>
        <v>1</v>
      </c>
      <c r="AN1000" t="str">
        <f>IF(Table1[[#This Row],[Income]]&gt;=70000,"HIGH INCOME","LOW INCOME")</f>
        <v>LOW INCOME</v>
      </c>
      <c r="AO1000" s="1" t="str">
        <f>IF(Table1[[#This Row],[MNT_TOTAL]]&gt;=900,"HIGH VALUE","LOW VALUE")</f>
        <v>LOW VALUE</v>
      </c>
      <c r="AP10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0" s="1"/>
      <c r="AR1000" s="1"/>
    </row>
    <row r="1001" spans="1:44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44</v>
      </c>
      <c r="X1001">
        <v>2653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119</v>
      </c>
      <c r="AJ1001">
        <v>101</v>
      </c>
      <c r="AK1001">
        <v>0</v>
      </c>
      <c r="AL1001">
        <f t="shared" si="15"/>
        <v>137</v>
      </c>
      <c r="AM1001">
        <f>IF(OR(Table1[[#This Row],[marital_Married]]=1,Table1[[#This Row],[marital_Together]]=1),1,0)</f>
        <v>0</v>
      </c>
      <c r="AN1001" t="str">
        <f>IF(Table1[[#This Row],[Income]]&gt;=70000,"HIGH INCOME","LOW INCOME")</f>
        <v>LOW INCOME</v>
      </c>
      <c r="AO1001" s="1" t="str">
        <f>IF(Table1[[#This Row],[MNT_TOTAL]]&gt;=900,"HIGH VALUE","LOW VALUE")</f>
        <v>LOW VALUE</v>
      </c>
      <c r="AP10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01" s="1"/>
      <c r="AR1001" s="1"/>
    </row>
    <row r="1002" spans="1:44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47</v>
      </c>
      <c r="X1002">
        <v>2169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78</v>
      </c>
      <c r="AJ1002">
        <v>77</v>
      </c>
      <c r="AK1002">
        <v>0</v>
      </c>
      <c r="AL1002">
        <f t="shared" si="15"/>
        <v>79</v>
      </c>
      <c r="AM1002">
        <f>IF(OR(Table1[[#This Row],[marital_Married]]=1,Table1[[#This Row],[marital_Together]]=1),1,0)</f>
        <v>1</v>
      </c>
      <c r="AN1002" t="str">
        <f>IF(Table1[[#This Row],[Income]]&gt;=70000,"HIGH INCOME","LOW INCOME")</f>
        <v>LOW INCOME</v>
      </c>
      <c r="AO1002" s="1" t="str">
        <f>IF(Table1[[#This Row],[MNT_TOTAL]]&gt;=900,"HIGH VALUE","LOW VALUE")</f>
        <v>LOW VALUE</v>
      </c>
      <c r="AP10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2" s="1"/>
      <c r="AR1002" s="1"/>
    </row>
    <row r="1003" spans="1:44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46</v>
      </c>
      <c r="X1003">
        <v>2516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63</v>
      </c>
      <c r="AJ1003">
        <v>63</v>
      </c>
      <c r="AK1003">
        <v>0</v>
      </c>
      <c r="AL1003">
        <f t="shared" si="15"/>
        <v>63</v>
      </c>
      <c r="AM1003">
        <f>IF(OR(Table1[[#This Row],[marital_Married]]=1,Table1[[#This Row],[marital_Together]]=1),1,0)</f>
        <v>1</v>
      </c>
      <c r="AN1003" t="str">
        <f>IF(Table1[[#This Row],[Income]]&gt;=70000,"HIGH INCOME","LOW INCOME")</f>
        <v>LOW INCOME</v>
      </c>
      <c r="AO1003" s="1" t="str">
        <f>IF(Table1[[#This Row],[MNT_TOTAL]]&gt;=900,"HIGH VALUE","LOW VALUE")</f>
        <v>LOW VALUE</v>
      </c>
      <c r="AP10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3" s="1"/>
      <c r="AR1003" s="1"/>
    </row>
    <row r="1004" spans="1:44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67</v>
      </c>
      <c r="X1004">
        <v>2641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1206</v>
      </c>
      <c r="AJ1004">
        <v>1098</v>
      </c>
      <c r="AK1004">
        <v>0</v>
      </c>
      <c r="AL1004">
        <f t="shared" si="15"/>
        <v>1314</v>
      </c>
      <c r="AM1004">
        <f>IF(OR(Table1[[#This Row],[marital_Married]]=1,Table1[[#This Row],[marital_Together]]=1),1,0)</f>
        <v>1</v>
      </c>
      <c r="AN1004" t="str">
        <f>IF(Table1[[#This Row],[Income]]&gt;=70000,"HIGH INCOME","LOW INCOME")</f>
        <v>LOW INCOME</v>
      </c>
      <c r="AO1004" s="1" t="str">
        <f>IF(Table1[[#This Row],[MNT_TOTAL]]&gt;=900,"HIGH VALUE","LOW VALUE")</f>
        <v>HIGH VALUE</v>
      </c>
      <c r="AP10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04" s="1"/>
      <c r="AR1004" s="1"/>
    </row>
    <row r="1005" spans="1:44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2164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64</v>
      </c>
      <c r="AJ1005">
        <v>57</v>
      </c>
      <c r="AK1005">
        <v>0</v>
      </c>
      <c r="AL1005">
        <f t="shared" si="15"/>
        <v>71</v>
      </c>
      <c r="AM1005">
        <f>IF(OR(Table1[[#This Row],[marital_Married]]=1,Table1[[#This Row],[marital_Together]]=1),1,0)</f>
        <v>1</v>
      </c>
      <c r="AN1005" t="str">
        <f>IF(Table1[[#This Row],[Income]]&gt;=70000,"HIGH INCOME","LOW INCOME")</f>
        <v>LOW INCOME</v>
      </c>
      <c r="AO1005" s="1" t="str">
        <f>IF(Table1[[#This Row],[MNT_TOTAL]]&gt;=900,"HIGH VALUE","LOW VALUE")</f>
        <v>LOW VALUE</v>
      </c>
      <c r="AP10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5" s="1"/>
      <c r="AR1005" s="1"/>
    </row>
    <row r="1006" spans="1:44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42</v>
      </c>
      <c r="X1006">
        <v>2762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46</v>
      </c>
      <c r="AJ1006">
        <v>34</v>
      </c>
      <c r="AK1006">
        <v>0</v>
      </c>
      <c r="AL1006">
        <f t="shared" si="15"/>
        <v>58</v>
      </c>
      <c r="AM1006">
        <f>IF(OR(Table1[[#This Row],[marital_Married]]=1,Table1[[#This Row],[marital_Together]]=1),1,0)</f>
        <v>1</v>
      </c>
      <c r="AN1006" t="str">
        <f>IF(Table1[[#This Row],[Income]]&gt;=70000,"HIGH INCOME","LOW INCOME")</f>
        <v>LOW INCOME</v>
      </c>
      <c r="AO1006" s="1" t="str">
        <f>IF(Table1[[#This Row],[MNT_TOTAL]]&gt;=900,"HIGH VALUE","LOW VALUE")</f>
        <v>LOW VALUE</v>
      </c>
      <c r="AP10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6" s="1"/>
      <c r="AR1006" s="1"/>
    </row>
    <row r="1007" spans="1:44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53</v>
      </c>
      <c r="X1007">
        <v>2606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619</v>
      </c>
      <c r="AJ1007">
        <v>536</v>
      </c>
      <c r="AK1007">
        <v>0</v>
      </c>
      <c r="AL1007">
        <f t="shared" si="15"/>
        <v>702</v>
      </c>
      <c r="AM1007">
        <f>IF(OR(Table1[[#This Row],[marital_Married]]=1,Table1[[#This Row],[marital_Together]]=1),1,0)</f>
        <v>1</v>
      </c>
      <c r="AN1007" t="str">
        <f>IF(Table1[[#This Row],[Income]]&gt;=70000,"HIGH INCOME","LOW INCOME")</f>
        <v>LOW INCOME</v>
      </c>
      <c r="AO1007" s="1" t="str">
        <f>IF(Table1[[#This Row],[MNT_TOTAL]]&gt;=900,"HIGH VALUE","LOW VALUE")</f>
        <v>LOW VALUE</v>
      </c>
      <c r="AP10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07" s="1"/>
      <c r="AR1007" s="1"/>
    </row>
    <row r="1008" spans="1:44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42</v>
      </c>
      <c r="X1008">
        <v>2471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68</v>
      </c>
      <c r="AJ1008">
        <v>42</v>
      </c>
      <c r="AK1008">
        <v>1</v>
      </c>
      <c r="AL1008">
        <f t="shared" si="15"/>
        <v>94</v>
      </c>
      <c r="AM1008">
        <f>IF(OR(Table1[[#This Row],[marital_Married]]=1,Table1[[#This Row],[marital_Together]]=1),1,0)</f>
        <v>0</v>
      </c>
      <c r="AN1008" t="str">
        <f>IF(Table1[[#This Row],[Income]]&gt;=70000,"HIGH INCOME","LOW INCOME")</f>
        <v>LOW INCOME</v>
      </c>
      <c r="AO1008" s="1" t="str">
        <f>IF(Table1[[#This Row],[MNT_TOTAL]]&gt;=900,"HIGH VALUE","LOW VALUE")</f>
        <v>LOW VALUE</v>
      </c>
      <c r="AP10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08" s="1"/>
      <c r="AR1008" s="1"/>
    </row>
    <row r="1009" spans="1:44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33</v>
      </c>
      <c r="X1009">
        <v>2675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54</v>
      </c>
      <c r="AJ1009">
        <v>28</v>
      </c>
      <c r="AK1009">
        <v>0</v>
      </c>
      <c r="AL1009">
        <f t="shared" si="15"/>
        <v>80</v>
      </c>
      <c r="AM1009">
        <f>IF(OR(Table1[[#This Row],[marital_Married]]=1,Table1[[#This Row],[marital_Together]]=1),1,0)</f>
        <v>0</v>
      </c>
      <c r="AN1009" t="str">
        <f>IF(Table1[[#This Row],[Income]]&gt;=70000,"HIGH INCOME","LOW INCOME")</f>
        <v>LOW INCOME</v>
      </c>
      <c r="AO1009" s="1" t="str">
        <f>IF(Table1[[#This Row],[MNT_TOTAL]]&gt;=900,"HIGH VALUE","LOW VALUE")</f>
        <v>LOW VALUE</v>
      </c>
      <c r="AP10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09" s="1"/>
      <c r="AR1009" s="1"/>
    </row>
    <row r="1010" spans="1:44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62</v>
      </c>
      <c r="X1010">
        <v>2491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20</v>
      </c>
      <c r="AJ1010">
        <v>18</v>
      </c>
      <c r="AK1010">
        <v>0</v>
      </c>
      <c r="AL1010">
        <f t="shared" si="15"/>
        <v>22</v>
      </c>
      <c r="AM1010">
        <f>IF(OR(Table1[[#This Row],[marital_Married]]=1,Table1[[#This Row],[marital_Together]]=1),1,0)</f>
        <v>0</v>
      </c>
      <c r="AN1010" t="str">
        <f>IF(Table1[[#This Row],[Income]]&gt;=70000,"HIGH INCOME","LOW INCOME")</f>
        <v>LOW INCOME</v>
      </c>
      <c r="AO1010" s="1" t="str">
        <f>IF(Table1[[#This Row],[MNT_TOTAL]]&gt;=900,"HIGH VALUE","LOW VALUE")</f>
        <v>LOW VALUE</v>
      </c>
      <c r="AP10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0" s="1"/>
      <c r="AR1010" s="1"/>
    </row>
    <row r="1011" spans="1:44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56</v>
      </c>
      <c r="X1011">
        <v>2761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1178</v>
      </c>
      <c r="AJ1011">
        <v>1145</v>
      </c>
      <c r="AK1011">
        <v>0</v>
      </c>
      <c r="AL1011">
        <f t="shared" si="15"/>
        <v>1211</v>
      </c>
      <c r="AM1011">
        <f>IF(OR(Table1[[#This Row],[marital_Married]]=1,Table1[[#This Row],[marital_Together]]=1),1,0)</f>
        <v>1</v>
      </c>
      <c r="AN1011" t="str">
        <f>IF(Table1[[#This Row],[Income]]&gt;=70000,"HIGH INCOME","LOW INCOME")</f>
        <v>LOW INCOME</v>
      </c>
      <c r="AO1011" s="1" t="str">
        <f>IF(Table1[[#This Row],[MNT_TOTAL]]&gt;=900,"HIGH VALUE","LOW VALUE")</f>
        <v>HIGH VALUE</v>
      </c>
      <c r="AP10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1" s="1"/>
      <c r="AR1011" s="1"/>
    </row>
    <row r="1012" spans="1:44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49</v>
      </c>
      <c r="X1012">
        <v>2524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1433</v>
      </c>
      <c r="AJ1012">
        <v>1405</v>
      </c>
      <c r="AK1012">
        <v>1</v>
      </c>
      <c r="AL1012">
        <f t="shared" si="15"/>
        <v>1461</v>
      </c>
      <c r="AM1012">
        <f>IF(OR(Table1[[#This Row],[marital_Married]]=1,Table1[[#This Row],[marital_Together]]=1),1,0)</f>
        <v>1</v>
      </c>
      <c r="AN1012" t="str">
        <f>IF(Table1[[#This Row],[Income]]&gt;=70000,"HIGH INCOME","LOW INCOME")</f>
        <v>HIGH INCOME</v>
      </c>
      <c r="AO1012" s="1" t="str">
        <f>IF(Table1[[#This Row],[MNT_TOTAL]]&gt;=900,"HIGH VALUE","LOW VALUE")</f>
        <v>HIGH VALUE</v>
      </c>
      <c r="AP10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12" s="1"/>
      <c r="AR1012" s="1"/>
    </row>
    <row r="1013" spans="1:44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49</v>
      </c>
      <c r="X1013">
        <v>2687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1949</v>
      </c>
      <c r="AJ1013">
        <v>1930</v>
      </c>
      <c r="AK1013">
        <v>0</v>
      </c>
      <c r="AL1013">
        <f t="shared" si="15"/>
        <v>1968</v>
      </c>
      <c r="AM1013">
        <f>IF(OR(Table1[[#This Row],[marital_Married]]=1,Table1[[#This Row],[marital_Together]]=1),1,0)</f>
        <v>0</v>
      </c>
      <c r="AN1013" t="str">
        <f>IF(Table1[[#This Row],[Income]]&gt;=70000,"HIGH INCOME","LOW INCOME")</f>
        <v>HIGH INCOME</v>
      </c>
      <c r="AO1013" s="1" t="str">
        <f>IF(Table1[[#This Row],[MNT_TOTAL]]&gt;=900,"HIGH VALUE","LOW VALUE")</f>
        <v>HIGH VALUE</v>
      </c>
      <c r="AP10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13" s="1"/>
      <c r="AR1013" s="1"/>
    </row>
    <row r="1014" spans="1:44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51</v>
      </c>
      <c r="X1014">
        <v>2163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1051</v>
      </c>
      <c r="AJ1014">
        <v>1011</v>
      </c>
      <c r="AK1014">
        <v>0</v>
      </c>
      <c r="AL1014">
        <f t="shared" si="15"/>
        <v>1091</v>
      </c>
      <c r="AM1014">
        <f>IF(OR(Table1[[#This Row],[marital_Married]]=1,Table1[[#This Row],[marital_Together]]=1),1,0)</f>
        <v>1</v>
      </c>
      <c r="AN1014" t="str">
        <f>IF(Table1[[#This Row],[Income]]&gt;=70000,"HIGH INCOME","LOW INCOME")</f>
        <v>LOW INCOME</v>
      </c>
      <c r="AO1014" s="1" t="str">
        <f>IF(Table1[[#This Row],[MNT_TOTAL]]&gt;=900,"HIGH VALUE","LOW VALUE")</f>
        <v>HIGH VALUE</v>
      </c>
      <c r="AP10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4" s="1"/>
      <c r="AR1014" s="1"/>
    </row>
    <row r="1015" spans="1:44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43</v>
      </c>
      <c r="X1015">
        <v>2682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39</v>
      </c>
      <c r="AJ1015">
        <v>23</v>
      </c>
      <c r="AK1015">
        <v>0</v>
      </c>
      <c r="AL1015">
        <f t="shared" si="15"/>
        <v>55</v>
      </c>
      <c r="AM1015">
        <f>IF(OR(Table1[[#This Row],[marital_Married]]=1,Table1[[#This Row],[marital_Together]]=1),1,0)</f>
        <v>1</v>
      </c>
      <c r="AN1015" t="str">
        <f>IF(Table1[[#This Row],[Income]]&gt;=70000,"HIGH INCOME","LOW INCOME")</f>
        <v>LOW INCOME</v>
      </c>
      <c r="AO1015" s="1" t="str">
        <f>IF(Table1[[#This Row],[MNT_TOTAL]]&gt;=900,"HIGH VALUE","LOW VALUE")</f>
        <v>LOW VALUE</v>
      </c>
      <c r="AP10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15" s="1"/>
      <c r="AR1015" s="1"/>
    </row>
    <row r="1016" spans="1:44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47</v>
      </c>
      <c r="X1016">
        <v>2207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1221</v>
      </c>
      <c r="AJ1016">
        <v>1076</v>
      </c>
      <c r="AK1016">
        <v>1</v>
      </c>
      <c r="AL1016">
        <f t="shared" si="15"/>
        <v>1366</v>
      </c>
      <c r="AM1016">
        <f>IF(OR(Table1[[#This Row],[marital_Married]]=1,Table1[[#This Row],[marital_Together]]=1),1,0)</f>
        <v>1</v>
      </c>
      <c r="AN1016" t="str">
        <f>IF(Table1[[#This Row],[Income]]&gt;=70000,"HIGH INCOME","LOW INCOME")</f>
        <v>HIGH INCOME</v>
      </c>
      <c r="AO1016" s="1" t="str">
        <f>IF(Table1[[#This Row],[MNT_TOTAL]]&gt;=900,"HIGH VALUE","LOW VALUE")</f>
        <v>HIGH VALUE</v>
      </c>
      <c r="AP10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16" s="1"/>
      <c r="AR1016" s="1"/>
    </row>
    <row r="1017" spans="1:44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40</v>
      </c>
      <c r="X1017">
        <v>2828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269</v>
      </c>
      <c r="AJ1017">
        <v>225</v>
      </c>
      <c r="AK1017">
        <v>0</v>
      </c>
      <c r="AL1017">
        <f t="shared" si="15"/>
        <v>313</v>
      </c>
      <c r="AM1017">
        <f>IF(OR(Table1[[#This Row],[marital_Married]]=1,Table1[[#This Row],[marital_Together]]=1),1,0)</f>
        <v>0</v>
      </c>
      <c r="AN1017" t="str">
        <f>IF(Table1[[#This Row],[Income]]&gt;=70000,"HIGH INCOME","LOW INCOME")</f>
        <v>LOW INCOME</v>
      </c>
      <c r="AO1017" s="1" t="str">
        <f>IF(Table1[[#This Row],[MNT_TOTAL]]&gt;=900,"HIGH VALUE","LOW VALUE")</f>
        <v>LOW VALUE</v>
      </c>
      <c r="AP10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7" s="1"/>
      <c r="AR1017" s="1"/>
    </row>
    <row r="1018" spans="1:44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62</v>
      </c>
      <c r="X1018">
        <v>2282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47</v>
      </c>
      <c r="AJ1018">
        <v>32</v>
      </c>
      <c r="AK1018">
        <v>0</v>
      </c>
      <c r="AL1018">
        <f t="shared" si="15"/>
        <v>62</v>
      </c>
      <c r="AM1018">
        <f>IF(OR(Table1[[#This Row],[marital_Married]]=1,Table1[[#This Row],[marital_Together]]=1),1,0)</f>
        <v>1</v>
      </c>
      <c r="AN1018" t="str">
        <f>IF(Table1[[#This Row],[Income]]&gt;=70000,"HIGH INCOME","LOW INCOME")</f>
        <v>LOW INCOME</v>
      </c>
      <c r="AO1018" s="1" t="str">
        <f>IF(Table1[[#This Row],[MNT_TOTAL]]&gt;=900,"HIGH VALUE","LOW VALUE")</f>
        <v>LOW VALUE</v>
      </c>
      <c r="AP10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18" s="1"/>
      <c r="AR1018" s="1"/>
    </row>
    <row r="1019" spans="1:44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48</v>
      </c>
      <c r="X1019">
        <v>2443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84</v>
      </c>
      <c r="AJ1019">
        <v>76</v>
      </c>
      <c r="AK1019">
        <v>0</v>
      </c>
      <c r="AL1019">
        <f t="shared" si="15"/>
        <v>92</v>
      </c>
      <c r="AM1019">
        <f>IF(OR(Table1[[#This Row],[marital_Married]]=1,Table1[[#This Row],[marital_Together]]=1),1,0)</f>
        <v>0</v>
      </c>
      <c r="AN1019" t="str">
        <f>IF(Table1[[#This Row],[Income]]&gt;=70000,"HIGH INCOME","LOW INCOME")</f>
        <v>LOW INCOME</v>
      </c>
      <c r="AO1019" s="1" t="str">
        <f>IF(Table1[[#This Row],[MNT_TOTAL]]&gt;=900,"HIGH VALUE","LOW VALUE")</f>
        <v>LOW VALUE</v>
      </c>
      <c r="AP10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19" s="1"/>
      <c r="AR1019" s="1"/>
    </row>
    <row r="1020" spans="1:44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49</v>
      </c>
      <c r="X1020">
        <v>2250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65</v>
      </c>
      <c r="AJ1020">
        <v>58</v>
      </c>
      <c r="AK1020">
        <v>1</v>
      </c>
      <c r="AL1020">
        <f t="shared" si="15"/>
        <v>72</v>
      </c>
      <c r="AM1020">
        <f>IF(OR(Table1[[#This Row],[marital_Married]]=1,Table1[[#This Row],[marital_Together]]=1),1,0)</f>
        <v>1</v>
      </c>
      <c r="AN1020" t="str">
        <f>IF(Table1[[#This Row],[Income]]&gt;=70000,"HIGH INCOME","LOW INCOME")</f>
        <v>LOW INCOME</v>
      </c>
      <c r="AO1020" s="1" t="str">
        <f>IF(Table1[[#This Row],[MNT_TOTAL]]&gt;=900,"HIGH VALUE","LOW VALUE")</f>
        <v>LOW VALUE</v>
      </c>
      <c r="AP10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0" s="1"/>
      <c r="AR1020" s="1"/>
    </row>
    <row r="1021" spans="1:44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67</v>
      </c>
      <c r="X1021">
        <v>2555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532</v>
      </c>
      <c r="AJ1021">
        <v>409</v>
      </c>
      <c r="AK1021">
        <v>0</v>
      </c>
      <c r="AL1021">
        <f t="shared" si="15"/>
        <v>655</v>
      </c>
      <c r="AM1021">
        <f>IF(OR(Table1[[#This Row],[marital_Married]]=1,Table1[[#This Row],[marital_Together]]=1),1,0)</f>
        <v>1</v>
      </c>
      <c r="AN1021" t="str">
        <f>IF(Table1[[#This Row],[Income]]&gt;=70000,"HIGH INCOME","LOW INCOME")</f>
        <v>LOW INCOME</v>
      </c>
      <c r="AO1021" s="1" t="str">
        <f>IF(Table1[[#This Row],[MNT_TOTAL]]&gt;=900,"HIGH VALUE","LOW VALUE")</f>
        <v>LOW VALUE</v>
      </c>
      <c r="AP10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1" s="1"/>
      <c r="AR1021" s="1"/>
    </row>
    <row r="1022" spans="1:44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61</v>
      </c>
      <c r="X1022">
        <v>2226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486</v>
      </c>
      <c r="AJ1022">
        <v>268</v>
      </c>
      <c r="AK1022">
        <v>1</v>
      </c>
      <c r="AL1022">
        <f t="shared" si="15"/>
        <v>704</v>
      </c>
      <c r="AM1022">
        <f>IF(OR(Table1[[#This Row],[marital_Married]]=1,Table1[[#This Row],[marital_Together]]=1),1,0)</f>
        <v>1</v>
      </c>
      <c r="AN1022" t="str">
        <f>IF(Table1[[#This Row],[Income]]&gt;=70000,"HIGH INCOME","LOW INCOME")</f>
        <v>LOW INCOME</v>
      </c>
      <c r="AO1022" s="1" t="str">
        <f>IF(Table1[[#This Row],[MNT_TOTAL]]&gt;=900,"HIGH VALUE","LOW VALUE")</f>
        <v>LOW VALUE</v>
      </c>
      <c r="AP10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2" s="1"/>
      <c r="AR1022" s="1"/>
    </row>
    <row r="1023" spans="1:44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66</v>
      </c>
      <c r="X1023">
        <v>2762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49</v>
      </c>
      <c r="AJ1023">
        <v>44</v>
      </c>
      <c r="AK1023">
        <v>0</v>
      </c>
      <c r="AL1023">
        <f t="shared" si="15"/>
        <v>54</v>
      </c>
      <c r="AM1023">
        <f>IF(OR(Table1[[#This Row],[marital_Married]]=1,Table1[[#This Row],[marital_Together]]=1),1,0)</f>
        <v>1</v>
      </c>
      <c r="AN1023" t="str">
        <f>IF(Table1[[#This Row],[Income]]&gt;=70000,"HIGH INCOME","LOW INCOME")</f>
        <v>LOW INCOME</v>
      </c>
      <c r="AO1023" s="1" t="str">
        <f>IF(Table1[[#This Row],[MNT_TOTAL]]&gt;=900,"HIGH VALUE","LOW VALUE")</f>
        <v>LOW VALUE</v>
      </c>
      <c r="AP10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3" s="1"/>
      <c r="AR1023" s="1"/>
    </row>
    <row r="1024" spans="1:44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29</v>
      </c>
      <c r="X1024">
        <v>2808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176</v>
      </c>
      <c r="AJ1024">
        <v>174</v>
      </c>
      <c r="AK1024">
        <v>0</v>
      </c>
      <c r="AL1024">
        <f t="shared" si="15"/>
        <v>178</v>
      </c>
      <c r="AM1024">
        <f>IF(OR(Table1[[#This Row],[marital_Married]]=1,Table1[[#This Row],[marital_Together]]=1),1,0)</f>
        <v>0</v>
      </c>
      <c r="AN1024" t="str">
        <f>IF(Table1[[#This Row],[Income]]&gt;=70000,"HIGH INCOME","LOW INCOME")</f>
        <v>LOW INCOME</v>
      </c>
      <c r="AO1024" s="1" t="str">
        <f>IF(Table1[[#This Row],[MNT_TOTAL]]&gt;=900,"HIGH VALUE","LOW VALUE")</f>
        <v>LOW VALUE</v>
      </c>
      <c r="AP10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24" s="1"/>
      <c r="AR1024" s="1"/>
    </row>
    <row r="1025" spans="1:44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58</v>
      </c>
      <c r="X1025">
        <v>2196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833</v>
      </c>
      <c r="AJ1025">
        <v>633</v>
      </c>
      <c r="AK1025">
        <v>1</v>
      </c>
      <c r="AL1025">
        <f t="shared" si="15"/>
        <v>1033</v>
      </c>
      <c r="AM1025">
        <f>IF(OR(Table1[[#This Row],[marital_Married]]=1,Table1[[#This Row],[marital_Together]]=1),1,0)</f>
        <v>1</v>
      </c>
      <c r="AN1025" t="str">
        <f>IF(Table1[[#This Row],[Income]]&gt;=70000,"HIGH INCOME","LOW INCOME")</f>
        <v>HIGH INCOME</v>
      </c>
      <c r="AO1025" s="1" t="str">
        <f>IF(Table1[[#This Row],[MNT_TOTAL]]&gt;=900,"HIGH VALUE","LOW VALUE")</f>
        <v>HIGH VALUE</v>
      </c>
      <c r="AP10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25" s="1"/>
      <c r="AR1025" s="1"/>
    </row>
    <row r="1026" spans="1:44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34</v>
      </c>
      <c r="X1026">
        <v>2493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30</v>
      </c>
      <c r="AJ1026">
        <v>24</v>
      </c>
      <c r="AK1026">
        <v>0</v>
      </c>
      <c r="AL1026">
        <f t="shared" ref="AL1026:AL1089" si="16">SUM(E1026:J1026)</f>
        <v>36</v>
      </c>
      <c r="AM1026">
        <f>IF(OR(Table1[[#This Row],[marital_Married]]=1,Table1[[#This Row],[marital_Together]]=1),1,0)</f>
        <v>1</v>
      </c>
      <c r="AN1026" t="str">
        <f>IF(Table1[[#This Row],[Income]]&gt;=70000,"HIGH INCOME","LOW INCOME")</f>
        <v>LOW INCOME</v>
      </c>
      <c r="AO1026" s="1" t="str">
        <f>IF(Table1[[#This Row],[MNT_TOTAL]]&gt;=900,"HIGH VALUE","LOW VALUE")</f>
        <v>LOW VALUE</v>
      </c>
      <c r="AP10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6" s="1"/>
      <c r="AR1026" s="1"/>
    </row>
    <row r="1027" spans="1:44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55</v>
      </c>
      <c r="X1027">
        <v>2783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119</v>
      </c>
      <c r="AJ1027">
        <v>116</v>
      </c>
      <c r="AK1027">
        <v>0</v>
      </c>
      <c r="AL1027">
        <f t="shared" si="16"/>
        <v>122</v>
      </c>
      <c r="AM1027">
        <f>IF(OR(Table1[[#This Row],[marital_Married]]=1,Table1[[#This Row],[marital_Together]]=1),1,0)</f>
        <v>0</v>
      </c>
      <c r="AN1027" t="str">
        <f>IF(Table1[[#This Row],[Income]]&gt;=70000,"HIGH INCOME","LOW INCOME")</f>
        <v>LOW INCOME</v>
      </c>
      <c r="AO1027" s="1" t="str">
        <f>IF(Table1[[#This Row],[MNT_TOTAL]]&gt;=900,"HIGH VALUE","LOW VALUE")</f>
        <v>LOW VALUE</v>
      </c>
      <c r="AP10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27" s="1"/>
      <c r="AR1027" s="1"/>
    </row>
    <row r="1028" spans="1:44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2436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93</v>
      </c>
      <c r="AJ1028">
        <v>64</v>
      </c>
      <c r="AK1028">
        <v>0</v>
      </c>
      <c r="AL1028">
        <f t="shared" si="16"/>
        <v>122</v>
      </c>
      <c r="AM1028">
        <f>IF(OR(Table1[[#This Row],[marital_Married]]=1,Table1[[#This Row],[marital_Together]]=1),1,0)</f>
        <v>1</v>
      </c>
      <c r="AN1028" t="str">
        <f>IF(Table1[[#This Row],[Income]]&gt;=70000,"HIGH INCOME","LOW INCOME")</f>
        <v>LOW INCOME</v>
      </c>
      <c r="AO1028" s="1" t="str">
        <f>IF(Table1[[#This Row],[MNT_TOTAL]]&gt;=900,"HIGH VALUE","LOW VALUE")</f>
        <v>LOW VALUE</v>
      </c>
      <c r="AP10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28" s="1"/>
      <c r="AR1028" s="1"/>
    </row>
    <row r="1029" spans="1:44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60</v>
      </c>
      <c r="X1029">
        <v>2418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1113</v>
      </c>
      <c r="AJ1029">
        <v>1103</v>
      </c>
      <c r="AK1029">
        <v>0</v>
      </c>
      <c r="AL1029">
        <f t="shared" si="16"/>
        <v>1123</v>
      </c>
      <c r="AM1029">
        <f>IF(OR(Table1[[#This Row],[marital_Married]]=1,Table1[[#This Row],[marital_Together]]=1),1,0)</f>
        <v>1</v>
      </c>
      <c r="AN1029" t="str">
        <f>IF(Table1[[#This Row],[Income]]&gt;=70000,"HIGH INCOME","LOW INCOME")</f>
        <v>HIGH INCOME</v>
      </c>
      <c r="AO1029" s="1" t="str">
        <f>IF(Table1[[#This Row],[MNT_TOTAL]]&gt;=900,"HIGH VALUE","LOW VALUE")</f>
        <v>HIGH VALUE</v>
      </c>
      <c r="AP10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29" s="1"/>
      <c r="AR1029" s="1"/>
    </row>
    <row r="1030" spans="1:44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36</v>
      </c>
      <c r="X1030">
        <v>2752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310</v>
      </c>
      <c r="AJ1030">
        <v>123</v>
      </c>
      <c r="AK1030">
        <v>0</v>
      </c>
      <c r="AL1030">
        <f t="shared" si="16"/>
        <v>497</v>
      </c>
      <c r="AM1030">
        <f>IF(OR(Table1[[#This Row],[marital_Married]]=1,Table1[[#This Row],[marital_Together]]=1),1,0)</f>
        <v>1</v>
      </c>
      <c r="AN1030" t="str">
        <f>IF(Table1[[#This Row],[Income]]&gt;=70000,"HIGH INCOME","LOW INCOME")</f>
        <v>LOW INCOME</v>
      </c>
      <c r="AO1030" s="1" t="str">
        <f>IF(Table1[[#This Row],[MNT_TOTAL]]&gt;=900,"HIGH VALUE","LOW VALUE")</f>
        <v>LOW VALUE</v>
      </c>
      <c r="AP10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0" s="1"/>
      <c r="AR1030" s="1"/>
    </row>
    <row r="1031" spans="1:44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2518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665</v>
      </c>
      <c r="AJ1031">
        <v>639</v>
      </c>
      <c r="AK1031">
        <v>1</v>
      </c>
      <c r="AL1031">
        <f t="shared" si="16"/>
        <v>691</v>
      </c>
      <c r="AM1031">
        <f>IF(OR(Table1[[#This Row],[marital_Married]]=1,Table1[[#This Row],[marital_Together]]=1),1,0)</f>
        <v>1</v>
      </c>
      <c r="AN1031" t="str">
        <f>IF(Table1[[#This Row],[Income]]&gt;=70000,"HIGH INCOME","LOW INCOME")</f>
        <v>LOW INCOME</v>
      </c>
      <c r="AO1031" s="1" t="str">
        <f>IF(Table1[[#This Row],[MNT_TOTAL]]&gt;=900,"HIGH VALUE","LOW VALUE")</f>
        <v>LOW VALUE</v>
      </c>
      <c r="AP10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1" s="1"/>
      <c r="AR1031" s="1"/>
    </row>
    <row r="1032" spans="1:44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55</v>
      </c>
      <c r="X1032">
        <v>2242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1287</v>
      </c>
      <c r="AJ1032">
        <v>1211</v>
      </c>
      <c r="AK1032">
        <v>1</v>
      </c>
      <c r="AL1032">
        <f t="shared" si="16"/>
        <v>1363</v>
      </c>
      <c r="AM1032">
        <f>IF(OR(Table1[[#This Row],[marital_Married]]=1,Table1[[#This Row],[marital_Together]]=1),1,0)</f>
        <v>1</v>
      </c>
      <c r="AN1032" t="str">
        <f>IF(Table1[[#This Row],[Income]]&gt;=70000,"HIGH INCOME","LOW INCOME")</f>
        <v>HIGH INCOME</v>
      </c>
      <c r="AO1032" s="1" t="str">
        <f>IF(Table1[[#This Row],[MNT_TOTAL]]&gt;=900,"HIGH VALUE","LOW VALUE")</f>
        <v>HIGH VALUE</v>
      </c>
      <c r="AP10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32" s="1"/>
      <c r="AR1032" s="1"/>
    </row>
    <row r="1033" spans="1:44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2183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11</v>
      </c>
      <c r="AJ1033">
        <v>10</v>
      </c>
      <c r="AK1033">
        <v>1</v>
      </c>
      <c r="AL1033">
        <f t="shared" si="16"/>
        <v>12</v>
      </c>
      <c r="AM1033">
        <f>IF(OR(Table1[[#This Row],[marital_Married]]=1,Table1[[#This Row],[marital_Together]]=1),1,0)</f>
        <v>1</v>
      </c>
      <c r="AN1033" t="str">
        <f>IF(Table1[[#This Row],[Income]]&gt;=70000,"HIGH INCOME","LOW INCOME")</f>
        <v>LOW INCOME</v>
      </c>
      <c r="AO1033" s="1" t="str">
        <f>IF(Table1[[#This Row],[MNT_TOTAL]]&gt;=900,"HIGH VALUE","LOW VALUE")</f>
        <v>LOW VALUE</v>
      </c>
      <c r="AP10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3" s="1"/>
      <c r="AR1033" s="1"/>
    </row>
    <row r="1034" spans="1:44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71</v>
      </c>
      <c r="X1034">
        <v>2657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2262</v>
      </c>
      <c r="AJ1034">
        <v>2084</v>
      </c>
      <c r="AK1034">
        <v>0</v>
      </c>
      <c r="AL1034">
        <f t="shared" si="16"/>
        <v>2440</v>
      </c>
      <c r="AM1034">
        <f>IF(OR(Table1[[#This Row],[marital_Married]]=1,Table1[[#This Row],[marital_Together]]=1),1,0)</f>
        <v>1</v>
      </c>
      <c r="AN1034" t="str">
        <f>IF(Table1[[#This Row],[Income]]&gt;=70000,"HIGH INCOME","LOW INCOME")</f>
        <v>LOW INCOME</v>
      </c>
      <c r="AO1034" s="1" t="str">
        <f>IF(Table1[[#This Row],[MNT_TOTAL]]&gt;=900,"HIGH VALUE","LOW VALUE")</f>
        <v>HIGH VALUE</v>
      </c>
      <c r="AP10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34" s="1"/>
      <c r="AR1034" s="1"/>
    </row>
    <row r="1035" spans="1:44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50</v>
      </c>
      <c r="X1035">
        <v>2659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30</v>
      </c>
      <c r="AJ1035">
        <v>4</v>
      </c>
      <c r="AK1035">
        <v>0</v>
      </c>
      <c r="AL1035">
        <f t="shared" si="16"/>
        <v>56</v>
      </c>
      <c r="AM1035">
        <f>IF(OR(Table1[[#This Row],[marital_Married]]=1,Table1[[#This Row],[marital_Together]]=1),1,0)</f>
        <v>0</v>
      </c>
      <c r="AN1035" t="str">
        <f>IF(Table1[[#This Row],[Income]]&gt;=70000,"HIGH INCOME","LOW INCOME")</f>
        <v>LOW INCOME</v>
      </c>
      <c r="AO1035" s="1" t="str">
        <f>IF(Table1[[#This Row],[MNT_TOTAL]]&gt;=900,"HIGH VALUE","LOW VALUE")</f>
        <v>LOW VALUE</v>
      </c>
      <c r="AP10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35" s="1"/>
      <c r="AR1035" s="1"/>
    </row>
    <row r="1036" spans="1:44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37</v>
      </c>
      <c r="X1036">
        <v>2609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27</v>
      </c>
      <c r="AJ1036">
        <v>17</v>
      </c>
      <c r="AK1036">
        <v>0</v>
      </c>
      <c r="AL1036">
        <f t="shared" si="16"/>
        <v>37</v>
      </c>
      <c r="AM1036">
        <f>IF(OR(Table1[[#This Row],[marital_Married]]=1,Table1[[#This Row],[marital_Together]]=1),1,0)</f>
        <v>1</v>
      </c>
      <c r="AN1036" t="str">
        <f>IF(Table1[[#This Row],[Income]]&gt;=70000,"HIGH INCOME","LOW INCOME")</f>
        <v>LOW INCOME</v>
      </c>
      <c r="AO1036" s="1" t="str">
        <f>IF(Table1[[#This Row],[MNT_TOTAL]]&gt;=900,"HIGH VALUE","LOW VALUE")</f>
        <v>LOW VALUE</v>
      </c>
      <c r="AP10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6" s="1"/>
      <c r="AR1036" s="1"/>
    </row>
    <row r="1037" spans="1:44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35</v>
      </c>
      <c r="X1037">
        <v>2791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942</v>
      </c>
      <c r="AJ1037">
        <v>916</v>
      </c>
      <c r="AK1037">
        <v>0</v>
      </c>
      <c r="AL1037">
        <f t="shared" si="16"/>
        <v>968</v>
      </c>
      <c r="AM1037">
        <f>IF(OR(Table1[[#This Row],[marital_Married]]=1,Table1[[#This Row],[marital_Together]]=1),1,0)</f>
        <v>0</v>
      </c>
      <c r="AN1037" t="str">
        <f>IF(Table1[[#This Row],[Income]]&gt;=70000,"HIGH INCOME","LOW INCOME")</f>
        <v>HIGH INCOME</v>
      </c>
      <c r="AO1037" s="1" t="str">
        <f>IF(Table1[[#This Row],[MNT_TOTAL]]&gt;=900,"HIGH VALUE","LOW VALUE")</f>
        <v>HIGH VALUE</v>
      </c>
      <c r="AP10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37" s="1"/>
      <c r="AR1037" s="1"/>
    </row>
    <row r="1038" spans="1:44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46</v>
      </c>
      <c r="X1038">
        <v>2828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255</v>
      </c>
      <c r="AJ1038">
        <v>240</v>
      </c>
      <c r="AK1038">
        <v>0</v>
      </c>
      <c r="AL1038">
        <f t="shared" si="16"/>
        <v>270</v>
      </c>
      <c r="AM1038">
        <f>IF(OR(Table1[[#This Row],[marital_Married]]=1,Table1[[#This Row],[marital_Together]]=1),1,0)</f>
        <v>1</v>
      </c>
      <c r="AN1038" t="str">
        <f>IF(Table1[[#This Row],[Income]]&gt;=70000,"HIGH INCOME","LOW INCOME")</f>
        <v>LOW INCOME</v>
      </c>
      <c r="AO1038" s="1" t="str">
        <f>IF(Table1[[#This Row],[MNT_TOTAL]]&gt;=900,"HIGH VALUE","LOW VALUE")</f>
        <v>LOW VALUE</v>
      </c>
      <c r="AP10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8" s="1"/>
      <c r="AR1038" s="1"/>
    </row>
    <row r="1039" spans="1:44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69</v>
      </c>
      <c r="X1039">
        <v>2483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253</v>
      </c>
      <c r="AJ1039">
        <v>228</v>
      </c>
      <c r="AK1039">
        <v>0</v>
      </c>
      <c r="AL1039">
        <f t="shared" si="16"/>
        <v>278</v>
      </c>
      <c r="AM1039">
        <f>IF(OR(Table1[[#This Row],[marital_Married]]=1,Table1[[#This Row],[marital_Together]]=1),1,0)</f>
        <v>1</v>
      </c>
      <c r="AN1039" t="str">
        <f>IF(Table1[[#This Row],[Income]]&gt;=70000,"HIGH INCOME","LOW INCOME")</f>
        <v>LOW INCOME</v>
      </c>
      <c r="AO1039" s="1" t="str">
        <f>IF(Table1[[#This Row],[MNT_TOTAL]]&gt;=900,"HIGH VALUE","LOW VALUE")</f>
        <v>LOW VALUE</v>
      </c>
      <c r="AP10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39" s="1"/>
      <c r="AR1039" s="1"/>
    </row>
    <row r="1040" spans="1:44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68</v>
      </c>
      <c r="X1040">
        <v>2738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1194</v>
      </c>
      <c r="AJ1040">
        <v>1138</v>
      </c>
      <c r="AK1040">
        <v>0</v>
      </c>
      <c r="AL1040">
        <f t="shared" si="16"/>
        <v>1250</v>
      </c>
      <c r="AM1040">
        <f>IF(OR(Table1[[#This Row],[marital_Married]]=1,Table1[[#This Row],[marital_Together]]=1),1,0)</f>
        <v>0</v>
      </c>
      <c r="AN1040" t="str">
        <f>IF(Table1[[#This Row],[Income]]&gt;=70000,"HIGH INCOME","LOW INCOME")</f>
        <v>HIGH INCOME</v>
      </c>
      <c r="AO1040" s="1" t="str">
        <f>IF(Table1[[#This Row],[MNT_TOTAL]]&gt;=900,"HIGH VALUE","LOW VALUE")</f>
        <v>HIGH VALUE</v>
      </c>
      <c r="AP10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40" s="1"/>
      <c r="AR1040" s="1"/>
    </row>
    <row r="1041" spans="1:44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33</v>
      </c>
      <c r="X1041">
        <v>2614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884</v>
      </c>
      <c r="AJ1041">
        <v>830</v>
      </c>
      <c r="AK1041">
        <v>0</v>
      </c>
      <c r="AL1041">
        <f t="shared" si="16"/>
        <v>938</v>
      </c>
      <c r="AM1041">
        <f>IF(OR(Table1[[#This Row],[marital_Married]]=1,Table1[[#This Row],[marital_Together]]=1),1,0)</f>
        <v>1</v>
      </c>
      <c r="AN1041" t="str">
        <f>IF(Table1[[#This Row],[Income]]&gt;=70000,"HIGH INCOME","LOW INCOME")</f>
        <v>LOW INCOME</v>
      </c>
      <c r="AO1041" s="1" t="str">
        <f>IF(Table1[[#This Row],[MNT_TOTAL]]&gt;=900,"HIGH VALUE","LOW VALUE")</f>
        <v>HIGH VALUE</v>
      </c>
      <c r="AP10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1" s="1"/>
      <c r="AR1041" s="1"/>
    </row>
    <row r="1042" spans="1:44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71</v>
      </c>
      <c r="X1042">
        <v>2795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1144</v>
      </c>
      <c r="AJ1042">
        <v>1110</v>
      </c>
      <c r="AK1042">
        <v>1</v>
      </c>
      <c r="AL1042">
        <f t="shared" si="16"/>
        <v>1178</v>
      </c>
      <c r="AM1042">
        <f>IF(OR(Table1[[#This Row],[marital_Married]]=1,Table1[[#This Row],[marital_Together]]=1),1,0)</f>
        <v>1</v>
      </c>
      <c r="AN1042" t="str">
        <f>IF(Table1[[#This Row],[Income]]&gt;=70000,"HIGH INCOME","LOW INCOME")</f>
        <v>LOW INCOME</v>
      </c>
      <c r="AO1042" s="1" t="str">
        <f>IF(Table1[[#This Row],[MNT_TOTAL]]&gt;=900,"HIGH VALUE","LOW VALUE")</f>
        <v>HIGH VALUE</v>
      </c>
      <c r="AP10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2" s="1"/>
      <c r="AR1042" s="1"/>
    </row>
    <row r="1043" spans="1:44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62</v>
      </c>
      <c r="X1043">
        <v>2498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955</v>
      </c>
      <c r="AJ1043">
        <v>755</v>
      </c>
      <c r="AK1043">
        <v>1</v>
      </c>
      <c r="AL1043">
        <f t="shared" si="16"/>
        <v>1155</v>
      </c>
      <c r="AM1043">
        <f>IF(OR(Table1[[#This Row],[marital_Married]]=1,Table1[[#This Row],[marital_Together]]=1),1,0)</f>
        <v>1</v>
      </c>
      <c r="AN1043" t="str">
        <f>IF(Table1[[#This Row],[Income]]&gt;=70000,"HIGH INCOME","LOW INCOME")</f>
        <v>LOW INCOME</v>
      </c>
      <c r="AO1043" s="1" t="str">
        <f>IF(Table1[[#This Row],[MNT_TOTAL]]&gt;=900,"HIGH VALUE","LOW VALUE")</f>
        <v>HIGH VALUE</v>
      </c>
      <c r="AP10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3" s="1"/>
      <c r="AR1043" s="1"/>
    </row>
    <row r="1044" spans="1:44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33</v>
      </c>
      <c r="X1044">
        <v>2694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618</v>
      </c>
      <c r="AJ1044">
        <v>583</v>
      </c>
      <c r="AK1044">
        <v>0</v>
      </c>
      <c r="AL1044">
        <f t="shared" si="16"/>
        <v>653</v>
      </c>
      <c r="AM1044">
        <f>IF(OR(Table1[[#This Row],[marital_Married]]=1,Table1[[#This Row],[marital_Together]]=1),1,0)</f>
        <v>0</v>
      </c>
      <c r="AN1044" t="str">
        <f>IF(Table1[[#This Row],[Income]]&gt;=70000,"HIGH INCOME","LOW INCOME")</f>
        <v>LOW INCOME</v>
      </c>
      <c r="AO1044" s="1" t="str">
        <f>IF(Table1[[#This Row],[MNT_TOTAL]]&gt;=900,"HIGH VALUE","LOW VALUE")</f>
        <v>LOW VALUE</v>
      </c>
      <c r="AP10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4" s="1"/>
      <c r="AR1044" s="1"/>
    </row>
    <row r="1045" spans="1:44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47</v>
      </c>
      <c r="X1045">
        <v>2200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29</v>
      </c>
      <c r="AJ1045">
        <v>9</v>
      </c>
      <c r="AK1045">
        <v>1</v>
      </c>
      <c r="AL1045">
        <f t="shared" si="16"/>
        <v>49</v>
      </c>
      <c r="AM1045">
        <f>IF(OR(Table1[[#This Row],[marital_Married]]=1,Table1[[#This Row],[marital_Together]]=1),1,0)</f>
        <v>0</v>
      </c>
      <c r="AN1045" t="str">
        <f>IF(Table1[[#This Row],[Income]]&gt;=70000,"HIGH INCOME","LOW INCOME")</f>
        <v>LOW INCOME</v>
      </c>
      <c r="AO1045" s="1" t="str">
        <f>IF(Table1[[#This Row],[MNT_TOTAL]]&gt;=900,"HIGH VALUE","LOW VALUE")</f>
        <v>LOW VALUE</v>
      </c>
      <c r="AP10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5" s="1"/>
      <c r="AR1045" s="1"/>
    </row>
    <row r="1046" spans="1:44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56</v>
      </c>
      <c r="X1046">
        <v>2238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497</v>
      </c>
      <c r="AJ1046">
        <v>488</v>
      </c>
      <c r="AK1046">
        <v>0</v>
      </c>
      <c r="AL1046">
        <f t="shared" si="16"/>
        <v>506</v>
      </c>
      <c r="AM1046">
        <f>IF(OR(Table1[[#This Row],[marital_Married]]=1,Table1[[#This Row],[marital_Together]]=1),1,0)</f>
        <v>1</v>
      </c>
      <c r="AN1046" t="str">
        <f>IF(Table1[[#This Row],[Income]]&gt;=70000,"HIGH INCOME","LOW INCOME")</f>
        <v>LOW INCOME</v>
      </c>
      <c r="AO1046" s="1" t="str">
        <f>IF(Table1[[#This Row],[MNT_TOTAL]]&gt;=900,"HIGH VALUE","LOW VALUE")</f>
        <v>LOW VALUE</v>
      </c>
      <c r="AP10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46" s="1"/>
      <c r="AR1046" s="1"/>
    </row>
    <row r="1047" spans="1:44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59</v>
      </c>
      <c r="X1047">
        <v>2814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24</v>
      </c>
      <c r="AJ1047">
        <v>10</v>
      </c>
      <c r="AK1047">
        <v>0</v>
      </c>
      <c r="AL1047">
        <f t="shared" si="16"/>
        <v>38</v>
      </c>
      <c r="AM1047">
        <f>IF(OR(Table1[[#This Row],[marital_Married]]=1,Table1[[#This Row],[marital_Together]]=1),1,0)</f>
        <v>1</v>
      </c>
      <c r="AN1047" t="str">
        <f>IF(Table1[[#This Row],[Income]]&gt;=70000,"HIGH INCOME","LOW INCOME")</f>
        <v>LOW INCOME</v>
      </c>
      <c r="AO1047" s="1" t="str">
        <f>IF(Table1[[#This Row],[MNT_TOTAL]]&gt;=900,"HIGH VALUE","LOW VALUE")</f>
        <v>LOW VALUE</v>
      </c>
      <c r="AP10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47" s="1"/>
      <c r="AR1047" s="1"/>
    </row>
    <row r="1048" spans="1:44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28</v>
      </c>
      <c r="X1048">
        <v>2218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1503</v>
      </c>
      <c r="AJ1048">
        <v>1356</v>
      </c>
      <c r="AK1048">
        <v>2</v>
      </c>
      <c r="AL1048">
        <f t="shared" si="16"/>
        <v>1650</v>
      </c>
      <c r="AM1048">
        <f>IF(OR(Table1[[#This Row],[marital_Married]]=1,Table1[[#This Row],[marital_Together]]=1),1,0)</f>
        <v>0</v>
      </c>
      <c r="AN1048" t="str">
        <f>IF(Table1[[#This Row],[Income]]&gt;=70000,"HIGH INCOME","LOW INCOME")</f>
        <v>HIGH INCOME</v>
      </c>
      <c r="AO1048" s="1" t="str">
        <f>IF(Table1[[#This Row],[MNT_TOTAL]]&gt;=900,"HIGH VALUE","LOW VALUE")</f>
        <v>HIGH VALUE</v>
      </c>
      <c r="AP10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48" s="1"/>
      <c r="AR1048" s="1"/>
    </row>
    <row r="1049" spans="1:44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55</v>
      </c>
      <c r="X1049">
        <v>2854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1677</v>
      </c>
      <c r="AJ1049">
        <v>1528</v>
      </c>
      <c r="AK1049">
        <v>0</v>
      </c>
      <c r="AL1049">
        <f t="shared" si="16"/>
        <v>1826</v>
      </c>
      <c r="AM1049">
        <f>IF(OR(Table1[[#This Row],[marital_Married]]=1,Table1[[#This Row],[marital_Together]]=1),1,0)</f>
        <v>0</v>
      </c>
      <c r="AN1049" t="str">
        <f>IF(Table1[[#This Row],[Income]]&gt;=70000,"HIGH INCOME","LOW INCOME")</f>
        <v>LOW INCOME</v>
      </c>
      <c r="AO1049" s="1" t="str">
        <f>IF(Table1[[#This Row],[MNT_TOTAL]]&gt;=900,"HIGH VALUE","LOW VALUE")</f>
        <v>HIGH VALUE</v>
      </c>
      <c r="AP10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49" s="1"/>
      <c r="AR1049" s="1"/>
    </row>
    <row r="1050" spans="1:44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64</v>
      </c>
      <c r="X1050">
        <v>2853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16</v>
      </c>
      <c r="AJ1050">
        <v>14</v>
      </c>
      <c r="AK1050">
        <v>0</v>
      </c>
      <c r="AL1050">
        <f t="shared" si="16"/>
        <v>18</v>
      </c>
      <c r="AM1050">
        <f>IF(OR(Table1[[#This Row],[marital_Married]]=1,Table1[[#This Row],[marital_Together]]=1),1,0)</f>
        <v>0</v>
      </c>
      <c r="AN1050" t="str">
        <f>IF(Table1[[#This Row],[Income]]&gt;=70000,"HIGH INCOME","LOW INCOME")</f>
        <v>LOW INCOME</v>
      </c>
      <c r="AO1050" s="1" t="str">
        <f>IF(Table1[[#This Row],[MNT_TOTAL]]&gt;=900,"HIGH VALUE","LOW VALUE")</f>
        <v>LOW VALUE</v>
      </c>
      <c r="AP10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50" s="1"/>
      <c r="AR1050" s="1"/>
    </row>
    <row r="1051" spans="1:44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42</v>
      </c>
      <c r="X1051">
        <v>2276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889</v>
      </c>
      <c r="AJ1051">
        <v>872</v>
      </c>
      <c r="AK1051">
        <v>0</v>
      </c>
      <c r="AL1051">
        <f t="shared" si="16"/>
        <v>906</v>
      </c>
      <c r="AM1051">
        <f>IF(OR(Table1[[#This Row],[marital_Married]]=1,Table1[[#This Row],[marital_Together]]=1),1,0)</f>
        <v>1</v>
      </c>
      <c r="AN1051" t="str">
        <f>IF(Table1[[#This Row],[Income]]&gt;=70000,"HIGH INCOME","LOW INCOME")</f>
        <v>LOW INCOME</v>
      </c>
      <c r="AO1051" s="1" t="str">
        <f>IF(Table1[[#This Row],[MNT_TOTAL]]&gt;=900,"HIGH VALUE","LOW VALUE")</f>
        <v>HIGH VALUE</v>
      </c>
      <c r="AP10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51" s="1"/>
      <c r="AR1051" s="1"/>
    </row>
    <row r="1052" spans="1:44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49</v>
      </c>
      <c r="X1052">
        <v>2194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44</v>
      </c>
      <c r="AJ1052">
        <v>42</v>
      </c>
      <c r="AK1052">
        <v>0</v>
      </c>
      <c r="AL1052">
        <f t="shared" si="16"/>
        <v>46</v>
      </c>
      <c r="AM1052">
        <f>IF(OR(Table1[[#This Row],[marital_Married]]=1,Table1[[#This Row],[marital_Together]]=1),1,0)</f>
        <v>1</v>
      </c>
      <c r="AN1052" t="str">
        <f>IF(Table1[[#This Row],[Income]]&gt;=70000,"HIGH INCOME","LOW INCOME")</f>
        <v>LOW INCOME</v>
      </c>
      <c r="AO1052" s="1" t="str">
        <f>IF(Table1[[#This Row],[MNT_TOTAL]]&gt;=900,"HIGH VALUE","LOW VALUE")</f>
        <v>LOW VALUE</v>
      </c>
      <c r="AP10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2" s="1"/>
      <c r="AR1052" s="1"/>
    </row>
    <row r="1053" spans="1:44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2732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1287</v>
      </c>
      <c r="AJ1053">
        <v>1097</v>
      </c>
      <c r="AK1053">
        <v>0</v>
      </c>
      <c r="AL1053">
        <f t="shared" si="16"/>
        <v>1477</v>
      </c>
      <c r="AM1053">
        <f>IF(OR(Table1[[#This Row],[marital_Married]]=1,Table1[[#This Row],[marital_Together]]=1),1,0)</f>
        <v>1</v>
      </c>
      <c r="AN1053" t="str">
        <f>IF(Table1[[#This Row],[Income]]&gt;=70000,"HIGH INCOME","LOW INCOME")</f>
        <v>HIGH INCOME</v>
      </c>
      <c r="AO1053" s="1" t="str">
        <f>IF(Table1[[#This Row],[MNT_TOTAL]]&gt;=900,"HIGH VALUE","LOW VALUE")</f>
        <v>HIGH VALUE</v>
      </c>
      <c r="AP10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53" s="1"/>
      <c r="AR1053" s="1"/>
    </row>
    <row r="1054" spans="1:44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65</v>
      </c>
      <c r="X1054">
        <v>2735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710</v>
      </c>
      <c r="AJ1054">
        <v>654</v>
      </c>
      <c r="AK1054">
        <v>0</v>
      </c>
      <c r="AL1054">
        <f t="shared" si="16"/>
        <v>766</v>
      </c>
      <c r="AM1054">
        <f>IF(OR(Table1[[#This Row],[marital_Married]]=1,Table1[[#This Row],[marital_Together]]=1),1,0)</f>
        <v>1</v>
      </c>
      <c r="AN1054" t="str">
        <f>IF(Table1[[#This Row],[Income]]&gt;=70000,"HIGH INCOME","LOW INCOME")</f>
        <v>LOW INCOME</v>
      </c>
      <c r="AO1054" s="1" t="str">
        <f>IF(Table1[[#This Row],[MNT_TOTAL]]&gt;=900,"HIGH VALUE","LOW VALUE")</f>
        <v>LOW VALUE</v>
      </c>
      <c r="AP10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4" s="1"/>
      <c r="AR1054" s="1"/>
    </row>
    <row r="1055" spans="1:44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67</v>
      </c>
      <c r="X1055">
        <v>2284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39</v>
      </c>
      <c r="AJ1055">
        <v>31</v>
      </c>
      <c r="AK1055">
        <v>0</v>
      </c>
      <c r="AL1055">
        <f t="shared" si="16"/>
        <v>47</v>
      </c>
      <c r="AM1055">
        <f>IF(OR(Table1[[#This Row],[marital_Married]]=1,Table1[[#This Row],[marital_Together]]=1),1,0)</f>
        <v>1</v>
      </c>
      <c r="AN1055" t="str">
        <f>IF(Table1[[#This Row],[Income]]&gt;=70000,"HIGH INCOME","LOW INCOME")</f>
        <v>LOW INCOME</v>
      </c>
      <c r="AO1055" s="1" t="str">
        <f>IF(Table1[[#This Row],[MNT_TOTAL]]&gt;=900,"HIGH VALUE","LOW VALUE")</f>
        <v>LOW VALUE</v>
      </c>
      <c r="AP10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5" s="1"/>
      <c r="AR1055" s="1"/>
    </row>
    <row r="1056" spans="1:44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62</v>
      </c>
      <c r="X1056">
        <v>2505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342</v>
      </c>
      <c r="AJ1056">
        <v>217</v>
      </c>
      <c r="AK1056">
        <v>0</v>
      </c>
      <c r="AL1056">
        <f t="shared" si="16"/>
        <v>467</v>
      </c>
      <c r="AM1056">
        <f>IF(OR(Table1[[#This Row],[marital_Married]]=1,Table1[[#This Row],[marital_Together]]=1),1,0)</f>
        <v>1</v>
      </c>
      <c r="AN1056" t="str">
        <f>IF(Table1[[#This Row],[Income]]&gt;=70000,"HIGH INCOME","LOW INCOME")</f>
        <v>LOW INCOME</v>
      </c>
      <c r="AO1056" s="1" t="str">
        <f>IF(Table1[[#This Row],[MNT_TOTAL]]&gt;=900,"HIGH VALUE","LOW VALUE")</f>
        <v>LOW VALUE</v>
      </c>
      <c r="AP10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6" s="1"/>
      <c r="AR1056" s="1"/>
    </row>
    <row r="1057" spans="1:44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59</v>
      </c>
      <c r="X1057">
        <v>2520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1998</v>
      </c>
      <c r="AJ1057">
        <v>1880</v>
      </c>
      <c r="AK1057">
        <v>1</v>
      </c>
      <c r="AL1057">
        <f t="shared" si="16"/>
        <v>2116</v>
      </c>
      <c r="AM1057">
        <f>IF(OR(Table1[[#This Row],[marital_Married]]=1,Table1[[#This Row],[marital_Together]]=1),1,0)</f>
        <v>1</v>
      </c>
      <c r="AN1057" t="str">
        <f>IF(Table1[[#This Row],[Income]]&gt;=70000,"HIGH INCOME","LOW INCOME")</f>
        <v>HIGH INCOME</v>
      </c>
      <c r="AO1057" s="1" t="str">
        <f>IF(Table1[[#This Row],[MNT_TOTAL]]&gt;=900,"HIGH VALUE","LOW VALUE")</f>
        <v>HIGH VALUE</v>
      </c>
      <c r="AP10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57" s="1"/>
      <c r="AR1057" s="1"/>
    </row>
    <row r="1058" spans="1:44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39</v>
      </c>
      <c r="X1058">
        <v>2583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1254</v>
      </c>
      <c r="AJ1058">
        <v>1210</v>
      </c>
      <c r="AK1058">
        <v>2</v>
      </c>
      <c r="AL1058">
        <f t="shared" si="16"/>
        <v>1298</v>
      </c>
      <c r="AM1058">
        <f>IF(OR(Table1[[#This Row],[marital_Married]]=1,Table1[[#This Row],[marital_Together]]=1),1,0)</f>
        <v>1</v>
      </c>
      <c r="AN1058" t="str">
        <f>IF(Table1[[#This Row],[Income]]&gt;=70000,"HIGH INCOME","LOW INCOME")</f>
        <v>HIGH INCOME</v>
      </c>
      <c r="AO1058" s="1" t="str">
        <f>IF(Table1[[#This Row],[MNT_TOTAL]]&gt;=900,"HIGH VALUE","LOW VALUE")</f>
        <v>HIGH VALUE</v>
      </c>
      <c r="AP10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58" s="1"/>
      <c r="AR1058" s="1"/>
    </row>
    <row r="1059" spans="1:44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44</v>
      </c>
      <c r="X1059">
        <v>2472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20</v>
      </c>
      <c r="AJ1059">
        <v>18</v>
      </c>
      <c r="AK1059">
        <v>0</v>
      </c>
      <c r="AL1059">
        <f t="shared" si="16"/>
        <v>22</v>
      </c>
      <c r="AM1059">
        <f>IF(OR(Table1[[#This Row],[marital_Married]]=1,Table1[[#This Row],[marital_Together]]=1),1,0)</f>
        <v>1</v>
      </c>
      <c r="AN1059" t="str">
        <f>IF(Table1[[#This Row],[Income]]&gt;=70000,"HIGH INCOME","LOW INCOME")</f>
        <v>LOW INCOME</v>
      </c>
      <c r="AO1059" s="1" t="str">
        <f>IF(Table1[[#This Row],[MNT_TOTAL]]&gt;=900,"HIGH VALUE","LOW VALUE")</f>
        <v>LOW VALUE</v>
      </c>
      <c r="AP10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59" s="1"/>
      <c r="AR1059" s="1"/>
    </row>
    <row r="1060" spans="1:44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52</v>
      </c>
      <c r="X1060">
        <v>2317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354</v>
      </c>
      <c r="AJ1060">
        <v>312</v>
      </c>
      <c r="AK1060">
        <v>0</v>
      </c>
      <c r="AL1060">
        <f t="shared" si="16"/>
        <v>396</v>
      </c>
      <c r="AM1060">
        <f>IF(OR(Table1[[#This Row],[marital_Married]]=1,Table1[[#This Row],[marital_Together]]=1),1,0)</f>
        <v>0</v>
      </c>
      <c r="AN1060" t="str">
        <f>IF(Table1[[#This Row],[Income]]&gt;=70000,"HIGH INCOME","LOW INCOME")</f>
        <v>LOW INCOME</v>
      </c>
      <c r="AO1060" s="1" t="str">
        <f>IF(Table1[[#This Row],[MNT_TOTAL]]&gt;=900,"HIGH VALUE","LOW VALUE")</f>
        <v>LOW VALUE</v>
      </c>
      <c r="AP10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0" s="1"/>
      <c r="AR1060" s="1"/>
    </row>
    <row r="1061" spans="1:44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42</v>
      </c>
      <c r="X1061">
        <v>2592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17</v>
      </c>
      <c r="AJ1061">
        <v>14</v>
      </c>
      <c r="AK1061">
        <v>0</v>
      </c>
      <c r="AL1061">
        <f t="shared" si="16"/>
        <v>20</v>
      </c>
      <c r="AM1061">
        <f>IF(OR(Table1[[#This Row],[marital_Married]]=1,Table1[[#This Row],[marital_Together]]=1),1,0)</f>
        <v>1</v>
      </c>
      <c r="AN1061" t="str">
        <f>IF(Table1[[#This Row],[Income]]&gt;=70000,"HIGH INCOME","LOW INCOME")</f>
        <v>LOW INCOME</v>
      </c>
      <c r="AO1061" s="1" t="str">
        <f>IF(Table1[[#This Row],[MNT_TOTAL]]&gt;=900,"HIGH VALUE","LOW VALUE")</f>
        <v>LOW VALUE</v>
      </c>
      <c r="AP10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61" s="1"/>
      <c r="AR1061" s="1"/>
    </row>
    <row r="1062" spans="1:44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55</v>
      </c>
      <c r="X1062">
        <v>2263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850</v>
      </c>
      <c r="AJ1062">
        <v>733</v>
      </c>
      <c r="AK1062">
        <v>0</v>
      </c>
      <c r="AL1062">
        <f t="shared" si="16"/>
        <v>967</v>
      </c>
      <c r="AM1062">
        <f>IF(OR(Table1[[#This Row],[marital_Married]]=1,Table1[[#This Row],[marital_Together]]=1),1,0)</f>
        <v>0</v>
      </c>
      <c r="AN1062" t="str">
        <f>IF(Table1[[#This Row],[Income]]&gt;=70000,"HIGH INCOME","LOW INCOME")</f>
        <v>LOW INCOME</v>
      </c>
      <c r="AO1062" s="1" t="str">
        <f>IF(Table1[[#This Row],[MNT_TOTAL]]&gt;=900,"HIGH VALUE","LOW VALUE")</f>
        <v>HIGH VALUE</v>
      </c>
      <c r="AP10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2" s="1"/>
      <c r="AR1062" s="1"/>
    </row>
    <row r="1063" spans="1:44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49</v>
      </c>
      <c r="X1063">
        <v>2748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341</v>
      </c>
      <c r="AJ1063">
        <v>325</v>
      </c>
      <c r="AK1063">
        <v>0</v>
      </c>
      <c r="AL1063">
        <f t="shared" si="16"/>
        <v>357</v>
      </c>
      <c r="AM1063">
        <f>IF(OR(Table1[[#This Row],[marital_Married]]=1,Table1[[#This Row],[marital_Together]]=1),1,0)</f>
        <v>1</v>
      </c>
      <c r="AN1063" t="str">
        <f>IF(Table1[[#This Row],[Income]]&gt;=70000,"HIGH INCOME","LOW INCOME")</f>
        <v>LOW INCOME</v>
      </c>
      <c r="AO1063" s="1" t="str">
        <f>IF(Table1[[#This Row],[MNT_TOTAL]]&gt;=900,"HIGH VALUE","LOW VALUE")</f>
        <v>LOW VALUE</v>
      </c>
      <c r="AP10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63" s="1"/>
      <c r="AR1063" s="1"/>
    </row>
    <row r="1064" spans="1:44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64</v>
      </c>
      <c r="X1064">
        <v>2835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1302</v>
      </c>
      <c r="AJ1064">
        <v>1203</v>
      </c>
      <c r="AK1064">
        <v>0</v>
      </c>
      <c r="AL1064">
        <f t="shared" si="16"/>
        <v>1401</v>
      </c>
      <c r="AM1064">
        <f>IF(OR(Table1[[#This Row],[marital_Married]]=1,Table1[[#This Row],[marital_Together]]=1),1,0)</f>
        <v>1</v>
      </c>
      <c r="AN1064" t="str">
        <f>IF(Table1[[#This Row],[Income]]&gt;=70000,"HIGH INCOME","LOW INCOME")</f>
        <v>HIGH INCOME</v>
      </c>
      <c r="AO1064" s="1" t="str">
        <f>IF(Table1[[#This Row],[MNT_TOTAL]]&gt;=900,"HIGH VALUE","LOW VALUE")</f>
        <v>HIGH VALUE</v>
      </c>
      <c r="AP10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64" s="1"/>
      <c r="AR1064" s="1"/>
    </row>
    <row r="1065" spans="1:44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38</v>
      </c>
      <c r="X1065">
        <v>2475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15</v>
      </c>
      <c r="AJ1065">
        <v>15</v>
      </c>
      <c r="AK1065">
        <v>0</v>
      </c>
      <c r="AL1065">
        <f t="shared" si="16"/>
        <v>15</v>
      </c>
      <c r="AM1065">
        <f>IF(OR(Table1[[#This Row],[marital_Married]]=1,Table1[[#This Row],[marital_Together]]=1),1,0)</f>
        <v>1</v>
      </c>
      <c r="AN1065" t="str">
        <f>IF(Table1[[#This Row],[Income]]&gt;=70000,"HIGH INCOME","LOW INCOME")</f>
        <v>LOW INCOME</v>
      </c>
      <c r="AO1065" s="1" t="str">
        <f>IF(Table1[[#This Row],[MNT_TOTAL]]&gt;=900,"HIGH VALUE","LOW VALUE")</f>
        <v>LOW VALUE</v>
      </c>
      <c r="AP10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65" s="1"/>
      <c r="AR1065" s="1"/>
    </row>
    <row r="1066" spans="1:44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1</v>
      </c>
      <c r="W1066">
        <v>50</v>
      </c>
      <c r="X1066">
        <v>2671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1954</v>
      </c>
      <c r="AJ1066">
        <v>1821</v>
      </c>
      <c r="AK1066">
        <v>1</v>
      </c>
      <c r="AL1066">
        <f t="shared" si="16"/>
        <v>2087</v>
      </c>
      <c r="AM1066">
        <f>IF(OR(Table1[[#This Row],[marital_Married]]=1,Table1[[#This Row],[marital_Together]]=1),1,0)</f>
        <v>0</v>
      </c>
      <c r="AN1066" t="str">
        <f>IF(Table1[[#This Row],[Income]]&gt;=70000,"HIGH INCOME","LOW INCOME")</f>
        <v>HIGH INCOME</v>
      </c>
      <c r="AO1066" s="1" t="str">
        <f>IF(Table1[[#This Row],[MNT_TOTAL]]&gt;=900,"HIGH VALUE","LOW VALUE")</f>
        <v>HIGH VALUE</v>
      </c>
      <c r="AP10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66" s="1"/>
      <c r="AR1066" s="1"/>
    </row>
    <row r="1067" spans="1:44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43</v>
      </c>
      <c r="X1067">
        <v>2669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839</v>
      </c>
      <c r="AJ1067">
        <v>697</v>
      </c>
      <c r="AK1067">
        <v>0</v>
      </c>
      <c r="AL1067">
        <f t="shared" si="16"/>
        <v>981</v>
      </c>
      <c r="AM1067">
        <f>IF(OR(Table1[[#This Row],[marital_Married]]=1,Table1[[#This Row],[marital_Together]]=1),1,0)</f>
        <v>1</v>
      </c>
      <c r="AN1067" t="str">
        <f>IF(Table1[[#This Row],[Income]]&gt;=70000,"HIGH INCOME","LOW INCOME")</f>
        <v>LOW INCOME</v>
      </c>
      <c r="AO1067" s="1" t="str">
        <f>IF(Table1[[#This Row],[MNT_TOTAL]]&gt;=900,"HIGH VALUE","LOW VALUE")</f>
        <v>HIGH VALUE</v>
      </c>
      <c r="AP10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7" s="1"/>
      <c r="AR1067" s="1"/>
    </row>
    <row r="1068" spans="1:44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50</v>
      </c>
      <c r="X1068">
        <v>2419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15</v>
      </c>
      <c r="AJ1068">
        <v>13</v>
      </c>
      <c r="AK1068">
        <v>0</v>
      </c>
      <c r="AL1068">
        <f t="shared" si="16"/>
        <v>17</v>
      </c>
      <c r="AM1068">
        <f>IF(OR(Table1[[#This Row],[marital_Married]]=1,Table1[[#This Row],[marital_Together]]=1),1,0)</f>
        <v>0</v>
      </c>
      <c r="AN1068" t="str">
        <f>IF(Table1[[#This Row],[Income]]&gt;=70000,"HIGH INCOME","LOW INCOME")</f>
        <v>LOW INCOME</v>
      </c>
      <c r="AO1068" s="1" t="str">
        <f>IF(Table1[[#This Row],[MNT_TOTAL]]&gt;=900,"HIGH VALUE","LOW VALUE")</f>
        <v>LOW VALUE</v>
      </c>
      <c r="AP10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8" s="1"/>
      <c r="AR1068" s="1"/>
    </row>
    <row r="1069" spans="1:44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1</v>
      </c>
      <c r="W1069">
        <v>62</v>
      </c>
      <c r="X1069">
        <v>2700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442</v>
      </c>
      <c r="AJ1069">
        <v>361</v>
      </c>
      <c r="AK1069">
        <v>4</v>
      </c>
      <c r="AL1069">
        <f t="shared" si="16"/>
        <v>523</v>
      </c>
      <c r="AM1069">
        <f>IF(OR(Table1[[#This Row],[marital_Married]]=1,Table1[[#This Row],[marital_Together]]=1),1,0)</f>
        <v>1</v>
      </c>
      <c r="AN1069" t="str">
        <f>IF(Table1[[#This Row],[Income]]&gt;=70000,"HIGH INCOME","LOW INCOME")</f>
        <v>HIGH INCOME</v>
      </c>
      <c r="AO1069" s="1" t="str">
        <f>IF(Table1[[#This Row],[MNT_TOTAL]]&gt;=900,"HIGH VALUE","LOW VALUE")</f>
        <v>LOW VALUE</v>
      </c>
      <c r="AP10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69" s="1"/>
      <c r="AR1069" s="1"/>
    </row>
    <row r="1070" spans="1:44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37</v>
      </c>
      <c r="X1070">
        <v>2216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20</v>
      </c>
      <c r="AJ1070">
        <v>17</v>
      </c>
      <c r="AK1070">
        <v>0</v>
      </c>
      <c r="AL1070">
        <f t="shared" si="16"/>
        <v>23</v>
      </c>
      <c r="AM1070">
        <f>IF(OR(Table1[[#This Row],[marital_Married]]=1,Table1[[#This Row],[marital_Together]]=1),1,0)</f>
        <v>1</v>
      </c>
      <c r="AN1070" t="str">
        <f>IF(Table1[[#This Row],[Income]]&gt;=70000,"HIGH INCOME","LOW INCOME")</f>
        <v>LOW INCOME</v>
      </c>
      <c r="AO1070" s="1" t="str">
        <f>IF(Table1[[#This Row],[MNT_TOTAL]]&gt;=900,"HIGH VALUE","LOW VALUE")</f>
        <v>LOW VALUE</v>
      </c>
      <c r="AP10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70" s="1"/>
      <c r="AR1070" s="1"/>
    </row>
    <row r="1071" spans="1:44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62</v>
      </c>
      <c r="X1071">
        <v>2263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1149</v>
      </c>
      <c r="AJ1071">
        <v>1106</v>
      </c>
      <c r="AK1071">
        <v>0</v>
      </c>
      <c r="AL1071">
        <f t="shared" si="16"/>
        <v>1192</v>
      </c>
      <c r="AM1071">
        <f>IF(OR(Table1[[#This Row],[marital_Married]]=1,Table1[[#This Row],[marital_Together]]=1),1,0)</f>
        <v>0</v>
      </c>
      <c r="AN1071" t="str">
        <f>IF(Table1[[#This Row],[Income]]&gt;=70000,"HIGH INCOME","LOW INCOME")</f>
        <v>HIGH INCOME</v>
      </c>
      <c r="AO1071" s="1" t="str">
        <f>IF(Table1[[#This Row],[MNT_TOTAL]]&gt;=900,"HIGH VALUE","LOW VALUE")</f>
        <v>HIGH VALUE</v>
      </c>
      <c r="AP10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71" s="1"/>
      <c r="AR1071" s="1"/>
    </row>
    <row r="1072" spans="1:44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47</v>
      </c>
      <c r="X1072">
        <v>2190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1920</v>
      </c>
      <c r="AJ1072">
        <v>1882</v>
      </c>
      <c r="AK1072">
        <v>1</v>
      </c>
      <c r="AL1072">
        <f t="shared" si="16"/>
        <v>1958</v>
      </c>
      <c r="AM1072">
        <f>IF(OR(Table1[[#This Row],[marital_Married]]=1,Table1[[#This Row],[marital_Together]]=1),1,0)</f>
        <v>1</v>
      </c>
      <c r="AN1072" t="str">
        <f>IF(Table1[[#This Row],[Income]]&gt;=70000,"HIGH INCOME","LOW INCOME")</f>
        <v>HIGH INCOME</v>
      </c>
      <c r="AO1072" s="1" t="str">
        <f>IF(Table1[[#This Row],[MNT_TOTAL]]&gt;=900,"HIGH VALUE","LOW VALUE")</f>
        <v>HIGH VALUE</v>
      </c>
      <c r="AP10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72" s="1"/>
      <c r="AR1072" s="1"/>
    </row>
    <row r="1073" spans="1:44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46</v>
      </c>
      <c r="X1073">
        <v>2223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121</v>
      </c>
      <c r="AJ1073">
        <v>109</v>
      </c>
      <c r="AK1073">
        <v>0</v>
      </c>
      <c r="AL1073">
        <f t="shared" si="16"/>
        <v>133</v>
      </c>
      <c r="AM1073">
        <f>IF(OR(Table1[[#This Row],[marital_Married]]=1,Table1[[#This Row],[marital_Together]]=1),1,0)</f>
        <v>0</v>
      </c>
      <c r="AN1073" t="str">
        <f>IF(Table1[[#This Row],[Income]]&gt;=70000,"HIGH INCOME","LOW INCOME")</f>
        <v>LOW INCOME</v>
      </c>
      <c r="AO1073" s="1" t="str">
        <f>IF(Table1[[#This Row],[MNT_TOTAL]]&gt;=900,"HIGH VALUE","LOW VALUE")</f>
        <v>LOW VALUE</v>
      </c>
      <c r="AP10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3" s="1"/>
      <c r="AR1073" s="1"/>
    </row>
    <row r="1074" spans="1:44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61</v>
      </c>
      <c r="X1074">
        <v>2469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702</v>
      </c>
      <c r="AJ1074">
        <v>627</v>
      </c>
      <c r="AK1074">
        <v>0</v>
      </c>
      <c r="AL1074">
        <f t="shared" si="16"/>
        <v>777</v>
      </c>
      <c r="AM1074">
        <f>IF(OR(Table1[[#This Row],[marital_Married]]=1,Table1[[#This Row],[marital_Together]]=1),1,0)</f>
        <v>1</v>
      </c>
      <c r="AN1074" t="str">
        <f>IF(Table1[[#This Row],[Income]]&gt;=70000,"HIGH INCOME","LOW INCOME")</f>
        <v>HIGH INCOME</v>
      </c>
      <c r="AO1074" s="1" t="str">
        <f>IF(Table1[[#This Row],[MNT_TOTAL]]&gt;=900,"HIGH VALUE","LOW VALUE")</f>
        <v>LOW VALUE</v>
      </c>
      <c r="AP10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4" s="1"/>
      <c r="AR1074" s="1"/>
    </row>
    <row r="1075" spans="1:44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48</v>
      </c>
      <c r="X1075">
        <v>2531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70</v>
      </c>
      <c r="AJ1075">
        <v>67</v>
      </c>
      <c r="AK1075">
        <v>0</v>
      </c>
      <c r="AL1075">
        <f t="shared" si="16"/>
        <v>73</v>
      </c>
      <c r="AM1075">
        <f>IF(OR(Table1[[#This Row],[marital_Married]]=1,Table1[[#This Row],[marital_Together]]=1),1,0)</f>
        <v>0</v>
      </c>
      <c r="AN1075" t="str">
        <f>IF(Table1[[#This Row],[Income]]&gt;=70000,"HIGH INCOME","LOW INCOME")</f>
        <v>LOW INCOME</v>
      </c>
      <c r="AO1075" s="1" t="str">
        <f>IF(Table1[[#This Row],[MNT_TOTAL]]&gt;=900,"HIGH VALUE","LOW VALUE")</f>
        <v>LOW VALUE</v>
      </c>
      <c r="AP10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5" s="1"/>
      <c r="AR1075" s="1"/>
    </row>
    <row r="1076" spans="1:44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55</v>
      </c>
      <c r="X1076">
        <v>2268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117</v>
      </c>
      <c r="AJ1076">
        <v>113</v>
      </c>
      <c r="AK1076">
        <v>0</v>
      </c>
      <c r="AL1076">
        <f t="shared" si="16"/>
        <v>121</v>
      </c>
      <c r="AM1076">
        <f>IF(OR(Table1[[#This Row],[marital_Married]]=1,Table1[[#This Row],[marital_Together]]=1),1,0)</f>
        <v>1</v>
      </c>
      <c r="AN1076" t="str">
        <f>IF(Table1[[#This Row],[Income]]&gt;=70000,"HIGH INCOME","LOW INCOME")</f>
        <v>LOW INCOME</v>
      </c>
      <c r="AO1076" s="1" t="str">
        <f>IF(Table1[[#This Row],[MNT_TOTAL]]&gt;=900,"HIGH VALUE","LOW VALUE")</f>
        <v>LOW VALUE</v>
      </c>
      <c r="AP10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76" s="1"/>
      <c r="AR1076" s="1"/>
    </row>
    <row r="1077" spans="1:44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41</v>
      </c>
      <c r="X1077">
        <v>2485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397</v>
      </c>
      <c r="AJ1077">
        <v>370</v>
      </c>
      <c r="AK1077">
        <v>0</v>
      </c>
      <c r="AL1077">
        <f t="shared" si="16"/>
        <v>424</v>
      </c>
      <c r="AM1077">
        <f>IF(OR(Table1[[#This Row],[marital_Married]]=1,Table1[[#This Row],[marital_Together]]=1),1,0)</f>
        <v>0</v>
      </c>
      <c r="AN1077" t="str">
        <f>IF(Table1[[#This Row],[Income]]&gt;=70000,"HIGH INCOME","LOW INCOME")</f>
        <v>LOW INCOME</v>
      </c>
      <c r="AO1077" s="1" t="str">
        <f>IF(Table1[[#This Row],[MNT_TOTAL]]&gt;=900,"HIGH VALUE","LOW VALUE")</f>
        <v>LOW VALUE</v>
      </c>
      <c r="AP10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7" s="1"/>
      <c r="AR1077" s="1"/>
    </row>
    <row r="1078" spans="1:44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62</v>
      </c>
      <c r="X1078">
        <v>2186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835</v>
      </c>
      <c r="AJ1078">
        <v>802</v>
      </c>
      <c r="AK1078">
        <v>0</v>
      </c>
      <c r="AL1078">
        <f t="shared" si="16"/>
        <v>868</v>
      </c>
      <c r="AM1078">
        <f>IF(OR(Table1[[#This Row],[marital_Married]]=1,Table1[[#This Row],[marital_Together]]=1),1,0)</f>
        <v>0</v>
      </c>
      <c r="AN1078" t="str">
        <f>IF(Table1[[#This Row],[Income]]&gt;=70000,"HIGH INCOME","LOW INCOME")</f>
        <v>HIGH INCOME</v>
      </c>
      <c r="AO1078" s="1" t="str">
        <f>IF(Table1[[#This Row],[MNT_TOTAL]]&gt;=900,"HIGH VALUE","LOW VALUE")</f>
        <v>LOW VALUE</v>
      </c>
      <c r="AP10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8" s="1"/>
      <c r="AR1078" s="1"/>
    </row>
    <row r="1079" spans="1:44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34</v>
      </c>
      <c r="X1079">
        <v>2765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715</v>
      </c>
      <c r="AJ1079">
        <v>674</v>
      </c>
      <c r="AK1079">
        <v>0</v>
      </c>
      <c r="AL1079">
        <f t="shared" si="16"/>
        <v>756</v>
      </c>
      <c r="AM1079">
        <f>IF(OR(Table1[[#This Row],[marital_Married]]=1,Table1[[#This Row],[marital_Together]]=1),1,0)</f>
        <v>0</v>
      </c>
      <c r="AN1079" t="str">
        <f>IF(Table1[[#This Row],[Income]]&gt;=70000,"HIGH INCOME","LOW INCOME")</f>
        <v>HIGH INCOME</v>
      </c>
      <c r="AO1079" s="1" t="str">
        <f>IF(Table1[[#This Row],[MNT_TOTAL]]&gt;=900,"HIGH VALUE","LOW VALUE")</f>
        <v>LOW VALUE</v>
      </c>
      <c r="AP10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79" s="1"/>
      <c r="AR1079" s="1"/>
    </row>
    <row r="1080" spans="1:44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38</v>
      </c>
      <c r="X1080">
        <v>2591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11</v>
      </c>
      <c r="AJ1080">
        <v>10</v>
      </c>
      <c r="AK1080">
        <v>0</v>
      </c>
      <c r="AL1080">
        <f t="shared" si="16"/>
        <v>12</v>
      </c>
      <c r="AM1080">
        <f>IF(OR(Table1[[#This Row],[marital_Married]]=1,Table1[[#This Row],[marital_Together]]=1),1,0)</f>
        <v>1</v>
      </c>
      <c r="AN1080" t="str">
        <f>IF(Table1[[#This Row],[Income]]&gt;=70000,"HIGH INCOME","LOW INCOME")</f>
        <v>LOW INCOME</v>
      </c>
      <c r="AO1080" s="1" t="str">
        <f>IF(Table1[[#This Row],[MNT_TOTAL]]&gt;=900,"HIGH VALUE","LOW VALUE")</f>
        <v>LOW VALUE</v>
      </c>
      <c r="AP10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0" s="1"/>
      <c r="AR1080" s="1"/>
    </row>
    <row r="1081" spans="1:44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41</v>
      </c>
      <c r="X1081">
        <v>2702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902</v>
      </c>
      <c r="AJ1081">
        <v>867</v>
      </c>
      <c r="AK1081">
        <v>0</v>
      </c>
      <c r="AL1081">
        <f t="shared" si="16"/>
        <v>937</v>
      </c>
      <c r="AM1081">
        <f>IF(OR(Table1[[#This Row],[marital_Married]]=1,Table1[[#This Row],[marital_Together]]=1),1,0)</f>
        <v>1</v>
      </c>
      <c r="AN1081" t="str">
        <f>IF(Table1[[#This Row],[Income]]&gt;=70000,"HIGH INCOME","LOW INCOME")</f>
        <v>LOW INCOME</v>
      </c>
      <c r="AO1081" s="1" t="str">
        <f>IF(Table1[[#This Row],[MNT_TOTAL]]&gt;=900,"HIGH VALUE","LOW VALUE")</f>
        <v>HIGH VALUE</v>
      </c>
      <c r="AP10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81" s="1"/>
      <c r="AR1081" s="1"/>
    </row>
    <row r="1082" spans="1:44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1</v>
      </c>
      <c r="W1082">
        <v>45</v>
      </c>
      <c r="X1082">
        <v>2423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1835</v>
      </c>
      <c r="AJ1082">
        <v>1808</v>
      </c>
      <c r="AK1082">
        <v>3</v>
      </c>
      <c r="AL1082">
        <f t="shared" si="16"/>
        <v>1862</v>
      </c>
      <c r="AM1082">
        <f>IF(OR(Table1[[#This Row],[marital_Married]]=1,Table1[[#This Row],[marital_Together]]=1),1,0)</f>
        <v>0</v>
      </c>
      <c r="AN1082" t="str">
        <f>IF(Table1[[#This Row],[Income]]&gt;=70000,"HIGH INCOME","LOW INCOME")</f>
        <v>HIGH INCOME</v>
      </c>
      <c r="AO1082" s="1" t="str">
        <f>IF(Table1[[#This Row],[MNT_TOTAL]]&gt;=900,"HIGH VALUE","LOW VALUE")</f>
        <v>HIGH VALUE</v>
      </c>
      <c r="AP10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82" s="1"/>
      <c r="AR1082" s="1"/>
    </row>
    <row r="1083" spans="1:44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41</v>
      </c>
      <c r="X1083">
        <v>2564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322</v>
      </c>
      <c r="AJ1083">
        <v>277</v>
      </c>
      <c r="AK1083">
        <v>0</v>
      </c>
      <c r="AL1083">
        <f t="shared" si="16"/>
        <v>367</v>
      </c>
      <c r="AM1083">
        <f>IF(OR(Table1[[#This Row],[marital_Married]]=1,Table1[[#This Row],[marital_Together]]=1),1,0)</f>
        <v>1</v>
      </c>
      <c r="AN1083" t="str">
        <f>IF(Table1[[#This Row],[Income]]&gt;=70000,"HIGH INCOME","LOW INCOME")</f>
        <v>LOW INCOME</v>
      </c>
      <c r="AO1083" s="1" t="str">
        <f>IF(Table1[[#This Row],[MNT_TOTAL]]&gt;=900,"HIGH VALUE","LOW VALUE")</f>
        <v>LOW VALUE</v>
      </c>
      <c r="AP10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3" s="1"/>
      <c r="AR1083" s="1"/>
    </row>
    <row r="1084" spans="1:44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34</v>
      </c>
      <c r="X1084">
        <v>2490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389</v>
      </c>
      <c r="AJ1084">
        <v>335</v>
      </c>
      <c r="AK1084">
        <v>0</v>
      </c>
      <c r="AL1084">
        <f t="shared" si="16"/>
        <v>443</v>
      </c>
      <c r="AM1084">
        <f>IF(OR(Table1[[#This Row],[marital_Married]]=1,Table1[[#This Row],[marital_Together]]=1),1,0)</f>
        <v>1</v>
      </c>
      <c r="AN1084" t="str">
        <f>IF(Table1[[#This Row],[Income]]&gt;=70000,"HIGH INCOME","LOW INCOME")</f>
        <v>LOW INCOME</v>
      </c>
      <c r="AO1084" s="1" t="str">
        <f>IF(Table1[[#This Row],[MNT_TOTAL]]&gt;=900,"HIGH VALUE","LOW VALUE")</f>
        <v>LOW VALUE</v>
      </c>
      <c r="AP10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4" s="1"/>
      <c r="AR1084" s="1"/>
    </row>
    <row r="1085" spans="1:44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50</v>
      </c>
      <c r="X1085">
        <v>2405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257</v>
      </c>
      <c r="AJ1085">
        <v>247</v>
      </c>
      <c r="AK1085">
        <v>0</v>
      </c>
      <c r="AL1085">
        <f t="shared" si="16"/>
        <v>267</v>
      </c>
      <c r="AM1085">
        <f>IF(OR(Table1[[#This Row],[marital_Married]]=1,Table1[[#This Row],[marital_Together]]=1),1,0)</f>
        <v>1</v>
      </c>
      <c r="AN1085" t="str">
        <f>IF(Table1[[#This Row],[Income]]&gt;=70000,"HIGH INCOME","LOW INCOME")</f>
        <v>LOW INCOME</v>
      </c>
      <c r="AO1085" s="1" t="str">
        <f>IF(Table1[[#This Row],[MNT_TOTAL]]&gt;=900,"HIGH VALUE","LOW VALUE")</f>
        <v>LOW VALUE</v>
      </c>
      <c r="AP10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5" s="1"/>
      <c r="AR1085" s="1"/>
    </row>
    <row r="1086" spans="1:44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48</v>
      </c>
      <c r="X1086">
        <v>2256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40</v>
      </c>
      <c r="AJ1086">
        <v>19</v>
      </c>
      <c r="AK1086">
        <v>0</v>
      </c>
      <c r="AL1086">
        <f t="shared" si="16"/>
        <v>61</v>
      </c>
      <c r="AM1086">
        <f>IF(OR(Table1[[#This Row],[marital_Married]]=1,Table1[[#This Row],[marital_Together]]=1),1,0)</f>
        <v>1</v>
      </c>
      <c r="AN1086" t="str">
        <f>IF(Table1[[#This Row],[Income]]&gt;=70000,"HIGH INCOME","LOW INCOME")</f>
        <v>LOW INCOME</v>
      </c>
      <c r="AO1086" s="1" t="str">
        <f>IF(Table1[[#This Row],[MNT_TOTAL]]&gt;=900,"HIGH VALUE","LOW VALUE")</f>
        <v>LOW VALUE</v>
      </c>
      <c r="AP10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6" s="1"/>
      <c r="AR1086" s="1"/>
    </row>
    <row r="1087" spans="1:44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60</v>
      </c>
      <c r="X1087">
        <v>2385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1323</v>
      </c>
      <c r="AJ1087">
        <v>1323</v>
      </c>
      <c r="AK1087">
        <v>1</v>
      </c>
      <c r="AL1087">
        <f t="shared" si="16"/>
        <v>1323</v>
      </c>
      <c r="AM1087">
        <f>IF(OR(Table1[[#This Row],[marital_Married]]=1,Table1[[#This Row],[marital_Together]]=1),1,0)</f>
        <v>0</v>
      </c>
      <c r="AN1087" t="str">
        <f>IF(Table1[[#This Row],[Income]]&gt;=70000,"HIGH INCOME","LOW INCOME")</f>
        <v>HIGH INCOME</v>
      </c>
      <c r="AO1087" s="1" t="str">
        <f>IF(Table1[[#This Row],[MNT_TOTAL]]&gt;=900,"HIGH VALUE","LOW VALUE")</f>
        <v>HIGH VALUE</v>
      </c>
      <c r="AP10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87" s="1"/>
      <c r="AR1087" s="1"/>
    </row>
    <row r="1088" spans="1:44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68</v>
      </c>
      <c r="X1088">
        <v>2169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61</v>
      </c>
      <c r="AJ1088">
        <v>59</v>
      </c>
      <c r="AK1088">
        <v>0</v>
      </c>
      <c r="AL1088">
        <f t="shared" si="16"/>
        <v>63</v>
      </c>
      <c r="AM1088">
        <f>IF(OR(Table1[[#This Row],[marital_Married]]=1,Table1[[#This Row],[marital_Together]]=1),1,0)</f>
        <v>1</v>
      </c>
      <c r="AN1088" t="str">
        <f>IF(Table1[[#This Row],[Income]]&gt;=70000,"HIGH INCOME","LOW INCOME")</f>
        <v>LOW INCOME</v>
      </c>
      <c r="AO1088" s="1" t="str">
        <f>IF(Table1[[#This Row],[MNT_TOTAL]]&gt;=900,"HIGH VALUE","LOW VALUE")</f>
        <v>LOW VALUE</v>
      </c>
      <c r="AP10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8" s="1"/>
      <c r="AR1088" s="1"/>
    </row>
    <row r="1089" spans="1:44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50</v>
      </c>
      <c r="X1089">
        <v>2489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47</v>
      </c>
      <c r="AJ1089">
        <v>30</v>
      </c>
      <c r="AK1089">
        <v>0</v>
      </c>
      <c r="AL1089">
        <f t="shared" si="16"/>
        <v>64</v>
      </c>
      <c r="AM1089">
        <f>IF(OR(Table1[[#This Row],[marital_Married]]=1,Table1[[#This Row],[marital_Together]]=1),1,0)</f>
        <v>1</v>
      </c>
      <c r="AN1089" t="str">
        <f>IF(Table1[[#This Row],[Income]]&gt;=70000,"HIGH INCOME","LOW INCOME")</f>
        <v>LOW INCOME</v>
      </c>
      <c r="AO1089" s="1" t="str">
        <f>IF(Table1[[#This Row],[MNT_TOTAL]]&gt;=900,"HIGH VALUE","LOW VALUE")</f>
        <v>LOW VALUE</v>
      </c>
      <c r="AP10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89" s="1"/>
      <c r="AR1089" s="1"/>
    </row>
    <row r="1090" spans="1:44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46</v>
      </c>
      <c r="X1090">
        <v>2309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546</v>
      </c>
      <c r="AJ1090">
        <v>530</v>
      </c>
      <c r="AK1090">
        <v>1</v>
      </c>
      <c r="AL1090">
        <f t="shared" ref="AL1090:AL1153" si="17">SUM(E1090:J1090)</f>
        <v>562</v>
      </c>
      <c r="AM1090">
        <f>IF(OR(Table1[[#This Row],[marital_Married]]=1,Table1[[#This Row],[marital_Together]]=1),1,0)</f>
        <v>1</v>
      </c>
      <c r="AN1090" t="str">
        <f>IF(Table1[[#This Row],[Income]]&gt;=70000,"HIGH INCOME","LOW INCOME")</f>
        <v>LOW INCOME</v>
      </c>
      <c r="AO1090" s="1" t="str">
        <f>IF(Table1[[#This Row],[MNT_TOTAL]]&gt;=900,"HIGH VALUE","LOW VALUE")</f>
        <v>LOW VALUE</v>
      </c>
      <c r="AP10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90" s="1"/>
      <c r="AR1090" s="1"/>
    </row>
    <row r="1091" spans="1:44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55</v>
      </c>
      <c r="X1091">
        <v>2188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306</v>
      </c>
      <c r="AJ1091">
        <v>300</v>
      </c>
      <c r="AK1091">
        <v>0</v>
      </c>
      <c r="AL1091">
        <f t="shared" si="17"/>
        <v>312</v>
      </c>
      <c r="AM1091">
        <f>IF(OR(Table1[[#This Row],[marital_Married]]=1,Table1[[#This Row],[marital_Together]]=1),1,0)</f>
        <v>1</v>
      </c>
      <c r="AN1091" t="str">
        <f>IF(Table1[[#This Row],[Income]]&gt;=70000,"HIGH INCOME","LOW INCOME")</f>
        <v>LOW INCOME</v>
      </c>
      <c r="AO1091" s="1" t="str">
        <f>IF(Table1[[#This Row],[MNT_TOTAL]]&gt;=900,"HIGH VALUE","LOW VALUE")</f>
        <v>LOW VALUE</v>
      </c>
      <c r="AP10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91" s="1"/>
      <c r="AR1091" s="1"/>
    </row>
    <row r="1092" spans="1:44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66</v>
      </c>
      <c r="X1092">
        <v>2648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1140</v>
      </c>
      <c r="AJ1092">
        <v>1124</v>
      </c>
      <c r="AK1092">
        <v>0</v>
      </c>
      <c r="AL1092">
        <f t="shared" si="17"/>
        <v>1156</v>
      </c>
      <c r="AM1092">
        <f>IF(OR(Table1[[#This Row],[marital_Married]]=1,Table1[[#This Row],[marital_Together]]=1),1,0)</f>
        <v>0</v>
      </c>
      <c r="AN1092" t="str">
        <f>IF(Table1[[#This Row],[Income]]&gt;=70000,"HIGH INCOME","LOW INCOME")</f>
        <v>HIGH INCOME</v>
      </c>
      <c r="AO1092" s="1" t="str">
        <f>IF(Table1[[#This Row],[MNT_TOTAL]]&gt;=900,"HIGH VALUE","LOW VALUE")</f>
        <v>HIGH VALUE</v>
      </c>
      <c r="AP10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92" s="1"/>
      <c r="AR1092" s="1"/>
    </row>
    <row r="1093" spans="1:44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1</v>
      </c>
      <c r="W1093">
        <v>37</v>
      </c>
      <c r="X1093">
        <v>2644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1059</v>
      </c>
      <c r="AJ1093">
        <v>1014</v>
      </c>
      <c r="AK1093">
        <v>1</v>
      </c>
      <c r="AL1093">
        <f t="shared" si="17"/>
        <v>1104</v>
      </c>
      <c r="AM1093">
        <f>IF(OR(Table1[[#This Row],[marital_Married]]=1,Table1[[#This Row],[marital_Together]]=1),1,0)</f>
        <v>0</v>
      </c>
      <c r="AN1093" t="str">
        <f>IF(Table1[[#This Row],[Income]]&gt;=70000,"HIGH INCOME","LOW INCOME")</f>
        <v>HIGH INCOME</v>
      </c>
      <c r="AO1093" s="1" t="str">
        <f>IF(Table1[[#This Row],[MNT_TOTAL]]&gt;=900,"HIGH VALUE","LOW VALUE")</f>
        <v>HIGH VALUE</v>
      </c>
      <c r="AP10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93" s="1"/>
      <c r="AR1093" s="1"/>
    </row>
    <row r="1094" spans="1:44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47</v>
      </c>
      <c r="X1094">
        <v>2299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16</v>
      </c>
      <c r="AJ1094">
        <v>16</v>
      </c>
      <c r="AK1094">
        <v>0</v>
      </c>
      <c r="AL1094">
        <f t="shared" si="17"/>
        <v>16</v>
      </c>
      <c r="AM1094">
        <f>IF(OR(Table1[[#This Row],[marital_Married]]=1,Table1[[#This Row],[marital_Together]]=1),1,0)</f>
        <v>0</v>
      </c>
      <c r="AN1094" t="str">
        <f>IF(Table1[[#This Row],[Income]]&gt;=70000,"HIGH INCOME","LOW INCOME")</f>
        <v>LOW INCOME</v>
      </c>
      <c r="AO1094" s="1" t="str">
        <f>IF(Table1[[#This Row],[MNT_TOTAL]]&gt;=900,"HIGH VALUE","LOW VALUE")</f>
        <v>LOW VALUE</v>
      </c>
      <c r="AP10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94" s="1"/>
      <c r="AR1094" s="1"/>
    </row>
    <row r="1095" spans="1:44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60</v>
      </c>
      <c r="X1095">
        <v>2291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1970</v>
      </c>
      <c r="AJ1095">
        <v>1932</v>
      </c>
      <c r="AK1095">
        <v>1</v>
      </c>
      <c r="AL1095">
        <f t="shared" si="17"/>
        <v>2008</v>
      </c>
      <c r="AM1095">
        <f>IF(OR(Table1[[#This Row],[marital_Married]]=1,Table1[[#This Row],[marital_Together]]=1),1,0)</f>
        <v>0</v>
      </c>
      <c r="AN1095" t="str">
        <f>IF(Table1[[#This Row],[Income]]&gt;=70000,"HIGH INCOME","LOW INCOME")</f>
        <v>HIGH INCOME</v>
      </c>
      <c r="AO1095" s="1" t="str">
        <f>IF(Table1[[#This Row],[MNT_TOTAL]]&gt;=900,"HIGH VALUE","LOW VALUE")</f>
        <v>HIGH VALUE</v>
      </c>
      <c r="AP10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095" s="1"/>
      <c r="AR1095" s="1"/>
    </row>
    <row r="1096" spans="1:44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36</v>
      </c>
      <c r="X1096">
        <v>2462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44</v>
      </c>
      <c r="AJ1096">
        <v>44</v>
      </c>
      <c r="AK1096">
        <v>0</v>
      </c>
      <c r="AL1096">
        <f t="shared" si="17"/>
        <v>44</v>
      </c>
      <c r="AM1096">
        <f>IF(OR(Table1[[#This Row],[marital_Married]]=1,Table1[[#This Row],[marital_Together]]=1),1,0)</f>
        <v>0</v>
      </c>
      <c r="AN1096" t="str">
        <f>IF(Table1[[#This Row],[Income]]&gt;=70000,"HIGH INCOME","LOW INCOME")</f>
        <v>LOW INCOME</v>
      </c>
      <c r="AO1096" s="1" t="str">
        <f>IF(Table1[[#This Row],[MNT_TOTAL]]&gt;=900,"HIGH VALUE","LOW VALUE")</f>
        <v>LOW VALUE</v>
      </c>
      <c r="AP10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096" s="1"/>
      <c r="AR1096" s="1"/>
    </row>
    <row r="1097" spans="1:44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49</v>
      </c>
      <c r="X1097">
        <v>2464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1406</v>
      </c>
      <c r="AJ1097">
        <v>1238</v>
      </c>
      <c r="AK1097">
        <v>2</v>
      </c>
      <c r="AL1097">
        <f t="shared" si="17"/>
        <v>1574</v>
      </c>
      <c r="AM1097">
        <f>IF(OR(Table1[[#This Row],[marital_Married]]=1,Table1[[#This Row],[marital_Together]]=1),1,0)</f>
        <v>1</v>
      </c>
      <c r="AN1097" t="str">
        <f>IF(Table1[[#This Row],[Income]]&gt;=70000,"HIGH INCOME","LOW INCOME")</f>
        <v>HIGH INCOME</v>
      </c>
      <c r="AO1097" s="1" t="str">
        <f>IF(Table1[[#This Row],[MNT_TOTAL]]&gt;=900,"HIGH VALUE","LOW VALUE")</f>
        <v>HIGH VALUE</v>
      </c>
      <c r="AP10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097" s="1"/>
      <c r="AR1097" s="1"/>
    </row>
    <row r="1098" spans="1:44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37</v>
      </c>
      <c r="X1098">
        <v>2415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39</v>
      </c>
      <c r="AJ1098">
        <v>15</v>
      </c>
      <c r="AK1098">
        <v>1</v>
      </c>
      <c r="AL1098">
        <f t="shared" si="17"/>
        <v>63</v>
      </c>
      <c r="AM1098">
        <f>IF(OR(Table1[[#This Row],[marital_Married]]=1,Table1[[#This Row],[marital_Together]]=1),1,0)</f>
        <v>1</v>
      </c>
      <c r="AN1098" t="str">
        <f>IF(Table1[[#This Row],[Income]]&gt;=70000,"HIGH INCOME","LOW INCOME")</f>
        <v>LOW INCOME</v>
      </c>
      <c r="AO1098" s="1" t="str">
        <f>IF(Table1[[#This Row],[MNT_TOTAL]]&gt;=900,"HIGH VALUE","LOW VALUE")</f>
        <v>LOW VALUE</v>
      </c>
      <c r="AP10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98" s="1"/>
      <c r="AR1098" s="1"/>
    </row>
    <row r="1099" spans="1:44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37</v>
      </c>
      <c r="X1099">
        <v>2441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273</v>
      </c>
      <c r="AJ1099">
        <v>120</v>
      </c>
      <c r="AK1099">
        <v>1</v>
      </c>
      <c r="AL1099">
        <f t="shared" si="17"/>
        <v>426</v>
      </c>
      <c r="AM1099">
        <f>IF(OR(Table1[[#This Row],[marital_Married]]=1,Table1[[#This Row],[marital_Together]]=1),1,0)</f>
        <v>1</v>
      </c>
      <c r="AN1099" t="str">
        <f>IF(Table1[[#This Row],[Income]]&gt;=70000,"HIGH INCOME","LOW INCOME")</f>
        <v>LOW INCOME</v>
      </c>
      <c r="AO1099" s="1" t="str">
        <f>IF(Table1[[#This Row],[MNT_TOTAL]]&gt;=900,"HIGH VALUE","LOW VALUE")</f>
        <v>LOW VALUE</v>
      </c>
      <c r="AP10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099" s="1"/>
      <c r="AR1099" s="1"/>
    </row>
    <row r="1100" spans="1:44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2688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50</v>
      </c>
      <c r="AJ1100">
        <v>4</v>
      </c>
      <c r="AK1100">
        <v>0</v>
      </c>
      <c r="AL1100">
        <f t="shared" si="17"/>
        <v>96</v>
      </c>
      <c r="AM1100">
        <f>IF(OR(Table1[[#This Row],[marital_Married]]=1,Table1[[#This Row],[marital_Together]]=1),1,0)</f>
        <v>1</v>
      </c>
      <c r="AN1100" t="str">
        <f>IF(Table1[[#This Row],[Income]]&gt;=70000,"HIGH INCOME","LOW INCOME")</f>
        <v>LOW INCOME</v>
      </c>
      <c r="AO1100" s="1" t="str">
        <f>IF(Table1[[#This Row],[MNT_TOTAL]]&gt;=900,"HIGH VALUE","LOW VALUE")</f>
        <v>LOW VALUE</v>
      </c>
      <c r="AP11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0" s="1"/>
      <c r="AR1100" s="1"/>
    </row>
    <row r="1101" spans="1:44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42</v>
      </c>
      <c r="X1101">
        <v>2449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606</v>
      </c>
      <c r="AJ1101">
        <v>577</v>
      </c>
      <c r="AK1101">
        <v>0</v>
      </c>
      <c r="AL1101">
        <f t="shared" si="17"/>
        <v>635</v>
      </c>
      <c r="AM1101">
        <f>IF(OR(Table1[[#This Row],[marital_Married]]=1,Table1[[#This Row],[marital_Together]]=1),1,0)</f>
        <v>1</v>
      </c>
      <c r="AN1101" t="str">
        <f>IF(Table1[[#This Row],[Income]]&gt;=70000,"HIGH INCOME","LOW INCOME")</f>
        <v>LOW INCOME</v>
      </c>
      <c r="AO1101" s="1" t="str">
        <f>IF(Table1[[#This Row],[MNT_TOTAL]]&gt;=900,"HIGH VALUE","LOW VALUE")</f>
        <v>LOW VALUE</v>
      </c>
      <c r="AP11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1" s="1"/>
      <c r="AR1101" s="1"/>
    </row>
    <row r="1102" spans="1:44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52</v>
      </c>
      <c r="X1102">
        <v>2425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736</v>
      </c>
      <c r="AJ1102">
        <v>715</v>
      </c>
      <c r="AK1102">
        <v>0</v>
      </c>
      <c r="AL1102">
        <f t="shared" si="17"/>
        <v>757</v>
      </c>
      <c r="AM1102">
        <f>IF(OR(Table1[[#This Row],[marital_Married]]=1,Table1[[#This Row],[marital_Together]]=1),1,0)</f>
        <v>0</v>
      </c>
      <c r="AN1102" t="str">
        <f>IF(Table1[[#This Row],[Income]]&gt;=70000,"HIGH INCOME","LOW INCOME")</f>
        <v>HIGH INCOME</v>
      </c>
      <c r="AO1102" s="1" t="str">
        <f>IF(Table1[[#This Row],[MNT_TOTAL]]&gt;=900,"HIGH VALUE","LOW VALUE")</f>
        <v>LOW VALUE</v>
      </c>
      <c r="AP11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02" s="1"/>
      <c r="AR1102" s="1"/>
    </row>
    <row r="1103" spans="1:44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41</v>
      </c>
      <c r="X1103">
        <v>2743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119</v>
      </c>
      <c r="AJ1103">
        <v>113</v>
      </c>
      <c r="AK1103">
        <v>0</v>
      </c>
      <c r="AL1103">
        <f t="shared" si="17"/>
        <v>125</v>
      </c>
      <c r="AM1103">
        <f>IF(OR(Table1[[#This Row],[marital_Married]]=1,Table1[[#This Row],[marital_Together]]=1),1,0)</f>
        <v>1</v>
      </c>
      <c r="AN1103" t="str">
        <f>IF(Table1[[#This Row],[Income]]&gt;=70000,"HIGH INCOME","LOW INCOME")</f>
        <v>LOW INCOME</v>
      </c>
      <c r="AO1103" s="1" t="str">
        <f>IF(Table1[[#This Row],[MNT_TOTAL]]&gt;=900,"HIGH VALUE","LOW VALUE")</f>
        <v>LOW VALUE</v>
      </c>
      <c r="AP11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3" s="1"/>
      <c r="AR1103" s="1"/>
    </row>
    <row r="1104" spans="1:44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47</v>
      </c>
      <c r="X1104">
        <v>2567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259</v>
      </c>
      <c r="AJ1104">
        <v>186</v>
      </c>
      <c r="AK1104">
        <v>0</v>
      </c>
      <c r="AL1104">
        <f t="shared" si="17"/>
        <v>332</v>
      </c>
      <c r="AM1104">
        <f>IF(OR(Table1[[#This Row],[marital_Married]]=1,Table1[[#This Row],[marital_Together]]=1),1,0)</f>
        <v>0</v>
      </c>
      <c r="AN1104" t="str">
        <f>IF(Table1[[#This Row],[Income]]&gt;=70000,"HIGH INCOME","LOW INCOME")</f>
        <v>LOW INCOME</v>
      </c>
      <c r="AO1104" s="1" t="str">
        <f>IF(Table1[[#This Row],[MNT_TOTAL]]&gt;=900,"HIGH VALUE","LOW VALUE")</f>
        <v>LOW VALUE</v>
      </c>
      <c r="AP11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04" s="1"/>
      <c r="AR1104" s="1"/>
    </row>
    <row r="1105" spans="1:44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41</v>
      </c>
      <c r="X1105">
        <v>2346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126</v>
      </c>
      <c r="AJ1105">
        <v>117</v>
      </c>
      <c r="AK1105">
        <v>0</v>
      </c>
      <c r="AL1105">
        <f t="shared" si="17"/>
        <v>135</v>
      </c>
      <c r="AM1105">
        <f>IF(OR(Table1[[#This Row],[marital_Married]]=1,Table1[[#This Row],[marital_Together]]=1),1,0)</f>
        <v>0</v>
      </c>
      <c r="AN1105" t="str">
        <f>IF(Table1[[#This Row],[Income]]&gt;=70000,"HIGH INCOME","LOW INCOME")</f>
        <v>LOW INCOME</v>
      </c>
      <c r="AO1105" s="1" t="str">
        <f>IF(Table1[[#This Row],[MNT_TOTAL]]&gt;=900,"HIGH VALUE","LOW VALUE")</f>
        <v>LOW VALUE</v>
      </c>
      <c r="AP11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05" s="1"/>
      <c r="AR1105" s="1"/>
    </row>
    <row r="1106" spans="1:44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66</v>
      </c>
      <c r="X1106">
        <v>2747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301</v>
      </c>
      <c r="AJ1106">
        <v>272</v>
      </c>
      <c r="AK1106">
        <v>0</v>
      </c>
      <c r="AL1106">
        <f t="shared" si="17"/>
        <v>330</v>
      </c>
      <c r="AM1106">
        <f>IF(OR(Table1[[#This Row],[marital_Married]]=1,Table1[[#This Row],[marital_Together]]=1),1,0)</f>
        <v>1</v>
      </c>
      <c r="AN1106" t="str">
        <f>IF(Table1[[#This Row],[Income]]&gt;=70000,"HIGH INCOME","LOW INCOME")</f>
        <v>LOW INCOME</v>
      </c>
      <c r="AO1106" s="1" t="str">
        <f>IF(Table1[[#This Row],[MNT_TOTAL]]&gt;=900,"HIGH VALUE","LOW VALUE")</f>
        <v>LOW VALUE</v>
      </c>
      <c r="AP11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6" s="1"/>
      <c r="AR1106" s="1"/>
    </row>
    <row r="1107" spans="1:44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58</v>
      </c>
      <c r="X1107">
        <v>2717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343</v>
      </c>
      <c r="AJ1107">
        <v>302</v>
      </c>
      <c r="AK1107">
        <v>0</v>
      </c>
      <c r="AL1107">
        <f t="shared" si="17"/>
        <v>384</v>
      </c>
      <c r="AM1107">
        <f>IF(OR(Table1[[#This Row],[marital_Married]]=1,Table1[[#This Row],[marital_Together]]=1),1,0)</f>
        <v>0</v>
      </c>
      <c r="AN1107" t="str">
        <f>IF(Table1[[#This Row],[Income]]&gt;=70000,"HIGH INCOME","LOW INCOME")</f>
        <v>LOW INCOME</v>
      </c>
      <c r="AO1107" s="1" t="str">
        <f>IF(Table1[[#This Row],[MNT_TOTAL]]&gt;=900,"HIGH VALUE","LOW VALUE")</f>
        <v>LOW VALUE</v>
      </c>
      <c r="AP11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07" s="1"/>
      <c r="AR1107" s="1"/>
    </row>
    <row r="1108" spans="1:44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2849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1627</v>
      </c>
      <c r="AJ1108">
        <v>1532</v>
      </c>
      <c r="AK1108">
        <v>0</v>
      </c>
      <c r="AL1108">
        <f t="shared" si="17"/>
        <v>1722</v>
      </c>
      <c r="AM1108">
        <f>IF(OR(Table1[[#This Row],[marital_Married]]=1,Table1[[#This Row],[marital_Together]]=1),1,0)</f>
        <v>0</v>
      </c>
      <c r="AN1108" t="str">
        <f>IF(Table1[[#This Row],[Income]]&gt;=70000,"HIGH INCOME","LOW INCOME")</f>
        <v>HIGH INCOME</v>
      </c>
      <c r="AO1108" s="1" t="str">
        <f>IF(Table1[[#This Row],[MNT_TOTAL]]&gt;=900,"HIGH VALUE","LOW VALUE")</f>
        <v>HIGH VALUE</v>
      </c>
      <c r="AP11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08" s="1"/>
      <c r="AR1108" s="1"/>
    </row>
    <row r="1109" spans="1:44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43</v>
      </c>
      <c r="X1109">
        <v>2225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62</v>
      </c>
      <c r="AJ1109">
        <v>46</v>
      </c>
      <c r="AK1109">
        <v>0</v>
      </c>
      <c r="AL1109">
        <f t="shared" si="17"/>
        <v>78</v>
      </c>
      <c r="AM1109">
        <f>IF(OR(Table1[[#This Row],[marital_Married]]=1,Table1[[#This Row],[marital_Together]]=1),1,0)</f>
        <v>1</v>
      </c>
      <c r="AN1109" t="str">
        <f>IF(Table1[[#This Row],[Income]]&gt;=70000,"HIGH INCOME","LOW INCOME")</f>
        <v>LOW INCOME</v>
      </c>
      <c r="AO1109" s="1" t="str">
        <f>IF(Table1[[#This Row],[MNT_TOTAL]]&gt;=900,"HIGH VALUE","LOW VALUE")</f>
        <v>LOW VALUE</v>
      </c>
      <c r="AP11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09" s="1"/>
      <c r="AR1109" s="1"/>
    </row>
    <row r="1110" spans="1:44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35</v>
      </c>
      <c r="X1110">
        <v>2692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13</v>
      </c>
      <c r="AJ1110">
        <v>2</v>
      </c>
      <c r="AK1110">
        <v>0</v>
      </c>
      <c r="AL1110">
        <f t="shared" si="17"/>
        <v>24</v>
      </c>
      <c r="AM1110">
        <f>IF(OR(Table1[[#This Row],[marital_Married]]=1,Table1[[#This Row],[marital_Together]]=1),1,0)</f>
        <v>0</v>
      </c>
      <c r="AN1110" t="str">
        <f>IF(Table1[[#This Row],[Income]]&gt;=70000,"HIGH INCOME","LOW INCOME")</f>
        <v>LOW INCOME</v>
      </c>
      <c r="AO1110" s="1" t="str">
        <f>IF(Table1[[#This Row],[MNT_TOTAL]]&gt;=900,"HIGH VALUE","LOW VALUE")</f>
        <v>LOW VALUE</v>
      </c>
      <c r="AP11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10" s="1"/>
      <c r="AR1110" s="1"/>
    </row>
    <row r="1111" spans="1:44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68</v>
      </c>
      <c r="X1111">
        <v>2350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1056</v>
      </c>
      <c r="AJ1111">
        <v>944</v>
      </c>
      <c r="AK1111">
        <v>0</v>
      </c>
      <c r="AL1111">
        <f t="shared" si="17"/>
        <v>1168</v>
      </c>
      <c r="AM1111">
        <f>IF(OR(Table1[[#This Row],[marital_Married]]=1,Table1[[#This Row],[marital_Together]]=1),1,0)</f>
        <v>0</v>
      </c>
      <c r="AN1111" t="str">
        <f>IF(Table1[[#This Row],[Income]]&gt;=70000,"HIGH INCOME","LOW INCOME")</f>
        <v>LOW INCOME</v>
      </c>
      <c r="AO1111" s="1" t="str">
        <f>IF(Table1[[#This Row],[MNT_TOTAL]]&gt;=900,"HIGH VALUE","LOW VALUE")</f>
        <v>HIGH VALUE</v>
      </c>
      <c r="AP11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11" s="1"/>
      <c r="AR1111" s="1"/>
    </row>
    <row r="1112" spans="1:44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69</v>
      </c>
      <c r="X1112">
        <v>2689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887</v>
      </c>
      <c r="AJ1112">
        <v>817</v>
      </c>
      <c r="AK1112">
        <v>1</v>
      </c>
      <c r="AL1112">
        <f t="shared" si="17"/>
        <v>957</v>
      </c>
      <c r="AM1112">
        <f>IF(OR(Table1[[#This Row],[marital_Married]]=1,Table1[[#This Row],[marital_Together]]=1),1,0)</f>
        <v>1</v>
      </c>
      <c r="AN1112" t="str">
        <f>IF(Table1[[#This Row],[Income]]&gt;=70000,"HIGH INCOME","LOW INCOME")</f>
        <v>LOW INCOME</v>
      </c>
      <c r="AO1112" s="1" t="str">
        <f>IF(Table1[[#This Row],[MNT_TOTAL]]&gt;=900,"HIGH VALUE","LOW VALUE")</f>
        <v>HIGH VALUE</v>
      </c>
      <c r="AP11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12" s="1"/>
      <c r="AR1112" s="1"/>
    </row>
    <row r="1113" spans="1:44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53</v>
      </c>
      <c r="X1113">
        <v>2421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11</v>
      </c>
      <c r="AJ1113">
        <v>7</v>
      </c>
      <c r="AK1113">
        <v>0</v>
      </c>
      <c r="AL1113">
        <f t="shared" si="17"/>
        <v>15</v>
      </c>
      <c r="AM1113">
        <f>IF(OR(Table1[[#This Row],[marital_Married]]=1,Table1[[#This Row],[marital_Together]]=1),1,0)</f>
        <v>0</v>
      </c>
      <c r="AN1113" t="str">
        <f>IF(Table1[[#This Row],[Income]]&gt;=70000,"HIGH INCOME","LOW INCOME")</f>
        <v>LOW INCOME</v>
      </c>
      <c r="AO1113" s="1" t="str">
        <f>IF(Table1[[#This Row],[MNT_TOTAL]]&gt;=900,"HIGH VALUE","LOW VALUE")</f>
        <v>LOW VALUE</v>
      </c>
      <c r="AP11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13" s="1"/>
      <c r="AR1113" s="1"/>
    </row>
    <row r="1114" spans="1:44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42</v>
      </c>
      <c r="X1114">
        <v>2181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41</v>
      </c>
      <c r="AJ1114">
        <v>25</v>
      </c>
      <c r="AK1114">
        <v>0</v>
      </c>
      <c r="AL1114">
        <f t="shared" si="17"/>
        <v>57</v>
      </c>
      <c r="AM1114">
        <f>IF(OR(Table1[[#This Row],[marital_Married]]=1,Table1[[#This Row],[marital_Together]]=1),1,0)</f>
        <v>1</v>
      </c>
      <c r="AN1114" t="str">
        <f>IF(Table1[[#This Row],[Income]]&gt;=70000,"HIGH INCOME","LOW INCOME")</f>
        <v>LOW INCOME</v>
      </c>
      <c r="AO1114" s="1" t="str">
        <f>IF(Table1[[#This Row],[MNT_TOTAL]]&gt;=900,"HIGH VALUE","LOW VALUE")</f>
        <v>LOW VALUE</v>
      </c>
      <c r="AP11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14" s="1"/>
      <c r="AR1114" s="1"/>
    </row>
    <row r="1115" spans="1:44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44</v>
      </c>
      <c r="X1115">
        <v>2753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1872</v>
      </c>
      <c r="AJ1115">
        <v>1788</v>
      </c>
      <c r="AK1115">
        <v>1</v>
      </c>
      <c r="AL1115">
        <f t="shared" si="17"/>
        <v>1956</v>
      </c>
      <c r="AM1115">
        <f>IF(OR(Table1[[#This Row],[marital_Married]]=1,Table1[[#This Row],[marital_Together]]=1),1,0)</f>
        <v>1</v>
      </c>
      <c r="AN1115" t="str">
        <f>IF(Table1[[#This Row],[Income]]&gt;=70000,"HIGH INCOME","LOW INCOME")</f>
        <v>HIGH INCOME</v>
      </c>
      <c r="AO1115" s="1" t="str">
        <f>IF(Table1[[#This Row],[MNT_TOTAL]]&gt;=900,"HIGH VALUE","LOW VALUE")</f>
        <v>HIGH VALUE</v>
      </c>
      <c r="AP11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15" s="1"/>
      <c r="AR1115" s="1"/>
    </row>
    <row r="1116" spans="1:44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1</v>
      </c>
      <c r="W1116">
        <v>35</v>
      </c>
      <c r="X1116">
        <v>2402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1974</v>
      </c>
      <c r="AJ1116">
        <v>1935</v>
      </c>
      <c r="AK1116">
        <v>3</v>
      </c>
      <c r="AL1116">
        <f t="shared" si="17"/>
        <v>2013</v>
      </c>
      <c r="AM1116">
        <f>IF(OR(Table1[[#This Row],[marital_Married]]=1,Table1[[#This Row],[marital_Together]]=1),1,0)</f>
        <v>0</v>
      </c>
      <c r="AN1116" t="str">
        <f>IF(Table1[[#This Row],[Income]]&gt;=70000,"HIGH INCOME","LOW INCOME")</f>
        <v>HIGH INCOME</v>
      </c>
      <c r="AO1116" s="1" t="str">
        <f>IF(Table1[[#This Row],[MNT_TOTAL]]&gt;=900,"HIGH VALUE","LOW VALUE")</f>
        <v>HIGH VALUE</v>
      </c>
      <c r="AP11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16" s="1"/>
      <c r="AR1116" s="1"/>
    </row>
    <row r="1117" spans="1:44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46</v>
      </c>
      <c r="X1117">
        <v>2195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297</v>
      </c>
      <c r="AJ1117">
        <v>268</v>
      </c>
      <c r="AK1117">
        <v>0</v>
      </c>
      <c r="AL1117">
        <f t="shared" si="17"/>
        <v>326</v>
      </c>
      <c r="AM1117">
        <f>IF(OR(Table1[[#This Row],[marital_Married]]=1,Table1[[#This Row],[marital_Together]]=1),1,0)</f>
        <v>1</v>
      </c>
      <c r="AN1117" t="str">
        <f>IF(Table1[[#This Row],[Income]]&gt;=70000,"HIGH INCOME","LOW INCOME")</f>
        <v>LOW INCOME</v>
      </c>
      <c r="AO1117" s="1" t="str">
        <f>IF(Table1[[#This Row],[MNT_TOTAL]]&gt;=900,"HIGH VALUE","LOW VALUE")</f>
        <v>LOW VALUE</v>
      </c>
      <c r="AP11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17" s="1"/>
      <c r="AR1117" s="1"/>
    </row>
    <row r="1118" spans="1:44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52</v>
      </c>
      <c r="X1118">
        <v>2852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73</v>
      </c>
      <c r="AJ1118">
        <v>69</v>
      </c>
      <c r="AK1118">
        <v>0</v>
      </c>
      <c r="AL1118">
        <f t="shared" si="17"/>
        <v>77</v>
      </c>
      <c r="AM1118">
        <f>IF(OR(Table1[[#This Row],[marital_Married]]=1,Table1[[#This Row],[marital_Together]]=1),1,0)</f>
        <v>1</v>
      </c>
      <c r="AN1118" t="str">
        <f>IF(Table1[[#This Row],[Income]]&gt;=70000,"HIGH INCOME","LOW INCOME")</f>
        <v>LOW INCOME</v>
      </c>
      <c r="AO1118" s="1" t="str">
        <f>IF(Table1[[#This Row],[MNT_TOTAL]]&gt;=900,"HIGH VALUE","LOW VALUE")</f>
        <v>LOW VALUE</v>
      </c>
      <c r="AP11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18" s="1"/>
      <c r="AR1118" s="1"/>
    </row>
    <row r="1119" spans="1:44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58</v>
      </c>
      <c r="X1119">
        <v>2581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1301</v>
      </c>
      <c r="AJ1119">
        <v>1289</v>
      </c>
      <c r="AK1119">
        <v>0</v>
      </c>
      <c r="AL1119">
        <f t="shared" si="17"/>
        <v>1313</v>
      </c>
      <c r="AM1119">
        <f>IF(OR(Table1[[#This Row],[marital_Married]]=1,Table1[[#This Row],[marital_Together]]=1),1,0)</f>
        <v>0</v>
      </c>
      <c r="AN1119" t="str">
        <f>IF(Table1[[#This Row],[Income]]&gt;=70000,"HIGH INCOME","LOW INCOME")</f>
        <v>HIGH INCOME</v>
      </c>
      <c r="AO1119" s="1" t="str">
        <f>IF(Table1[[#This Row],[MNT_TOTAL]]&gt;=900,"HIGH VALUE","LOW VALUE")</f>
        <v>HIGH VALUE</v>
      </c>
      <c r="AP11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19" s="1"/>
      <c r="AR1119" s="1"/>
    </row>
    <row r="1120" spans="1:44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31</v>
      </c>
      <c r="X1120">
        <v>2197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26</v>
      </c>
      <c r="AJ1120">
        <v>22</v>
      </c>
      <c r="AK1120">
        <v>0</v>
      </c>
      <c r="AL1120">
        <f t="shared" si="17"/>
        <v>30</v>
      </c>
      <c r="AM1120">
        <f>IF(OR(Table1[[#This Row],[marital_Married]]=1,Table1[[#This Row],[marital_Together]]=1),1,0)</f>
        <v>0</v>
      </c>
      <c r="AN1120" t="str">
        <f>IF(Table1[[#This Row],[Income]]&gt;=70000,"HIGH INCOME","LOW INCOME")</f>
        <v>LOW INCOME</v>
      </c>
      <c r="AO1120" s="1" t="str">
        <f>IF(Table1[[#This Row],[MNT_TOTAL]]&gt;=900,"HIGH VALUE","LOW VALUE")</f>
        <v>LOW VALUE</v>
      </c>
      <c r="AP11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20" s="1"/>
      <c r="AR1120" s="1"/>
    </row>
    <row r="1121" spans="1:44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59</v>
      </c>
      <c r="X1121">
        <v>2671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295</v>
      </c>
      <c r="AJ1121">
        <v>275</v>
      </c>
      <c r="AK1121">
        <v>0</v>
      </c>
      <c r="AL1121">
        <f t="shared" si="17"/>
        <v>315</v>
      </c>
      <c r="AM1121">
        <f>IF(OR(Table1[[#This Row],[marital_Married]]=1,Table1[[#This Row],[marital_Together]]=1),1,0)</f>
        <v>1</v>
      </c>
      <c r="AN1121" t="str">
        <f>IF(Table1[[#This Row],[Income]]&gt;=70000,"HIGH INCOME","LOW INCOME")</f>
        <v>LOW INCOME</v>
      </c>
      <c r="AO1121" s="1" t="str">
        <f>IF(Table1[[#This Row],[MNT_TOTAL]]&gt;=900,"HIGH VALUE","LOW VALUE")</f>
        <v>LOW VALUE</v>
      </c>
      <c r="AP11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1" s="1"/>
      <c r="AR1121" s="1"/>
    </row>
    <row r="1122" spans="1:44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67</v>
      </c>
      <c r="X1122">
        <v>2533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612</v>
      </c>
      <c r="AJ1122">
        <v>564</v>
      </c>
      <c r="AK1122">
        <v>0</v>
      </c>
      <c r="AL1122">
        <f t="shared" si="17"/>
        <v>660</v>
      </c>
      <c r="AM1122">
        <f>IF(OR(Table1[[#This Row],[marital_Married]]=1,Table1[[#This Row],[marital_Together]]=1),1,0)</f>
        <v>1</v>
      </c>
      <c r="AN1122" t="str">
        <f>IF(Table1[[#This Row],[Income]]&gt;=70000,"HIGH INCOME","LOW INCOME")</f>
        <v>LOW INCOME</v>
      </c>
      <c r="AO1122" s="1" t="str">
        <f>IF(Table1[[#This Row],[MNT_TOTAL]]&gt;=900,"HIGH VALUE","LOW VALUE")</f>
        <v>LOW VALUE</v>
      </c>
      <c r="AP11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2" s="1"/>
      <c r="AR1122" s="1"/>
    </row>
    <row r="1123" spans="1:44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31</v>
      </c>
      <c r="X1123">
        <v>2673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71</v>
      </c>
      <c r="AJ1123">
        <v>68</v>
      </c>
      <c r="AK1123">
        <v>0</v>
      </c>
      <c r="AL1123">
        <f t="shared" si="17"/>
        <v>74</v>
      </c>
      <c r="AM1123">
        <f>IF(OR(Table1[[#This Row],[marital_Married]]=1,Table1[[#This Row],[marital_Together]]=1),1,0)</f>
        <v>1</v>
      </c>
      <c r="AN1123" t="str">
        <f>IF(Table1[[#This Row],[Income]]&gt;=70000,"HIGH INCOME","LOW INCOME")</f>
        <v>LOW INCOME</v>
      </c>
      <c r="AO1123" s="1" t="str">
        <f>IF(Table1[[#This Row],[MNT_TOTAL]]&gt;=900,"HIGH VALUE","LOW VALUE")</f>
        <v>LOW VALUE</v>
      </c>
      <c r="AP11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3" s="1"/>
      <c r="AR1123" s="1"/>
    </row>
    <row r="1124" spans="1:44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42</v>
      </c>
      <c r="X1124">
        <v>2208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26</v>
      </c>
      <c r="AJ1124">
        <v>6</v>
      </c>
      <c r="AK1124">
        <v>0</v>
      </c>
      <c r="AL1124">
        <f t="shared" si="17"/>
        <v>46</v>
      </c>
      <c r="AM1124">
        <f>IF(OR(Table1[[#This Row],[marital_Married]]=1,Table1[[#This Row],[marital_Together]]=1),1,0)</f>
        <v>0</v>
      </c>
      <c r="AN1124" t="str">
        <f>IF(Table1[[#This Row],[Income]]&gt;=70000,"HIGH INCOME","LOW INCOME")</f>
        <v>LOW INCOME</v>
      </c>
      <c r="AO1124" s="1" t="str">
        <f>IF(Table1[[#This Row],[MNT_TOTAL]]&gt;=900,"HIGH VALUE","LOW VALUE")</f>
        <v>LOW VALUE</v>
      </c>
      <c r="AP11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24" s="1"/>
      <c r="AR1124" s="1"/>
    </row>
    <row r="1125" spans="1:44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58</v>
      </c>
      <c r="X1125">
        <v>2475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68</v>
      </c>
      <c r="AJ1125">
        <v>50</v>
      </c>
      <c r="AK1125">
        <v>0</v>
      </c>
      <c r="AL1125">
        <f t="shared" si="17"/>
        <v>86</v>
      </c>
      <c r="AM1125">
        <f>IF(OR(Table1[[#This Row],[marital_Married]]=1,Table1[[#This Row],[marital_Together]]=1),1,0)</f>
        <v>0</v>
      </c>
      <c r="AN1125" t="str">
        <f>IF(Table1[[#This Row],[Income]]&gt;=70000,"HIGH INCOME","LOW INCOME")</f>
        <v>LOW INCOME</v>
      </c>
      <c r="AO1125" s="1" t="str">
        <f>IF(Table1[[#This Row],[MNT_TOTAL]]&gt;=900,"HIGH VALUE","LOW VALUE")</f>
        <v>LOW VALUE</v>
      </c>
      <c r="AP11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25" s="1"/>
      <c r="AR1125" s="1"/>
    </row>
    <row r="1126" spans="1:44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75</v>
      </c>
      <c r="X1126">
        <v>2395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969</v>
      </c>
      <c r="AJ1126">
        <v>835</v>
      </c>
      <c r="AK1126">
        <v>0</v>
      </c>
      <c r="AL1126">
        <f t="shared" si="17"/>
        <v>1103</v>
      </c>
      <c r="AM1126">
        <f>IF(OR(Table1[[#This Row],[marital_Married]]=1,Table1[[#This Row],[marital_Together]]=1),1,0)</f>
        <v>0</v>
      </c>
      <c r="AN1126" t="str">
        <f>IF(Table1[[#This Row],[Income]]&gt;=70000,"HIGH INCOME","LOW INCOME")</f>
        <v>LOW INCOME</v>
      </c>
      <c r="AO1126" s="1" t="str">
        <f>IF(Table1[[#This Row],[MNT_TOTAL]]&gt;=900,"HIGH VALUE","LOW VALUE")</f>
        <v>HIGH VALUE</v>
      </c>
      <c r="AP11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26" s="1"/>
      <c r="AR1126" s="1"/>
    </row>
    <row r="1127" spans="1:44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46</v>
      </c>
      <c r="X1127">
        <v>2318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58</v>
      </c>
      <c r="AJ1127">
        <v>55</v>
      </c>
      <c r="AK1127">
        <v>0</v>
      </c>
      <c r="AL1127">
        <f t="shared" si="17"/>
        <v>61</v>
      </c>
      <c r="AM1127">
        <f>IF(OR(Table1[[#This Row],[marital_Married]]=1,Table1[[#This Row],[marital_Together]]=1),1,0)</f>
        <v>1</v>
      </c>
      <c r="AN1127" t="str">
        <f>IF(Table1[[#This Row],[Income]]&gt;=70000,"HIGH INCOME","LOW INCOME")</f>
        <v>LOW INCOME</v>
      </c>
      <c r="AO1127" s="1" t="str">
        <f>IF(Table1[[#This Row],[MNT_TOTAL]]&gt;=900,"HIGH VALUE","LOW VALUE")</f>
        <v>LOW VALUE</v>
      </c>
      <c r="AP11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7" s="1"/>
      <c r="AR1127" s="1"/>
    </row>
    <row r="1128" spans="1:44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39</v>
      </c>
      <c r="X1128">
        <v>2381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118</v>
      </c>
      <c r="AJ1128">
        <v>91</v>
      </c>
      <c r="AK1128">
        <v>1</v>
      </c>
      <c r="AL1128">
        <f t="shared" si="17"/>
        <v>145</v>
      </c>
      <c r="AM1128">
        <f>IF(OR(Table1[[#This Row],[marital_Married]]=1,Table1[[#This Row],[marital_Together]]=1),1,0)</f>
        <v>1</v>
      </c>
      <c r="AN1128" t="str">
        <f>IF(Table1[[#This Row],[Income]]&gt;=70000,"HIGH INCOME","LOW INCOME")</f>
        <v>LOW INCOME</v>
      </c>
      <c r="AO1128" s="1" t="str">
        <f>IF(Table1[[#This Row],[MNT_TOTAL]]&gt;=900,"HIGH VALUE","LOW VALUE")</f>
        <v>LOW VALUE</v>
      </c>
      <c r="AP11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8" s="1"/>
      <c r="AR1128" s="1"/>
    </row>
    <row r="1129" spans="1:44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64</v>
      </c>
      <c r="X1129">
        <v>2812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652</v>
      </c>
      <c r="AJ1129">
        <v>620</v>
      </c>
      <c r="AK1129">
        <v>0</v>
      </c>
      <c r="AL1129">
        <f t="shared" si="17"/>
        <v>684</v>
      </c>
      <c r="AM1129">
        <f>IF(OR(Table1[[#This Row],[marital_Married]]=1,Table1[[#This Row],[marital_Together]]=1),1,0)</f>
        <v>1</v>
      </c>
      <c r="AN1129" t="str">
        <f>IF(Table1[[#This Row],[Income]]&gt;=70000,"HIGH INCOME","LOW INCOME")</f>
        <v>LOW INCOME</v>
      </c>
      <c r="AO1129" s="1" t="str">
        <f>IF(Table1[[#This Row],[MNT_TOTAL]]&gt;=900,"HIGH VALUE","LOW VALUE")</f>
        <v>LOW VALUE</v>
      </c>
      <c r="AP11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29" s="1"/>
      <c r="AR1129" s="1"/>
    </row>
    <row r="1130" spans="1:44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66</v>
      </c>
      <c r="X1130">
        <v>2388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392</v>
      </c>
      <c r="AJ1130">
        <v>373</v>
      </c>
      <c r="AK1130">
        <v>0</v>
      </c>
      <c r="AL1130">
        <f t="shared" si="17"/>
        <v>411</v>
      </c>
      <c r="AM1130">
        <f>IF(OR(Table1[[#This Row],[marital_Married]]=1,Table1[[#This Row],[marital_Together]]=1),1,0)</f>
        <v>1</v>
      </c>
      <c r="AN1130" t="str">
        <f>IF(Table1[[#This Row],[Income]]&gt;=70000,"HIGH INCOME","LOW INCOME")</f>
        <v>LOW INCOME</v>
      </c>
      <c r="AO1130" s="1" t="str">
        <f>IF(Table1[[#This Row],[MNT_TOTAL]]&gt;=900,"HIGH VALUE","LOW VALUE")</f>
        <v>LOW VALUE</v>
      </c>
      <c r="AP11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30" s="1"/>
      <c r="AR1130" s="1"/>
    </row>
    <row r="1131" spans="1:44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34</v>
      </c>
      <c r="X1131">
        <v>2783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18</v>
      </c>
      <c r="AJ1131">
        <v>9</v>
      </c>
      <c r="AK1131">
        <v>1</v>
      </c>
      <c r="AL1131">
        <f t="shared" si="17"/>
        <v>27</v>
      </c>
      <c r="AM1131">
        <f>IF(OR(Table1[[#This Row],[marital_Married]]=1,Table1[[#This Row],[marital_Together]]=1),1,0)</f>
        <v>0</v>
      </c>
      <c r="AN1131" t="str">
        <f>IF(Table1[[#This Row],[Income]]&gt;=70000,"HIGH INCOME","LOW INCOME")</f>
        <v>LOW INCOME</v>
      </c>
      <c r="AO1131" s="1" t="str">
        <f>IF(Table1[[#This Row],[MNT_TOTAL]]&gt;=900,"HIGH VALUE","LOW VALUE")</f>
        <v>LOW VALUE</v>
      </c>
      <c r="AP11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31" s="1"/>
      <c r="AR1131" s="1"/>
    </row>
    <row r="1132" spans="1:44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77</v>
      </c>
      <c r="X1132">
        <v>2517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1030</v>
      </c>
      <c r="AJ1132">
        <v>1000</v>
      </c>
      <c r="AK1132">
        <v>0</v>
      </c>
      <c r="AL1132">
        <f t="shared" si="17"/>
        <v>1060</v>
      </c>
      <c r="AM1132">
        <f>IF(OR(Table1[[#This Row],[marital_Married]]=1,Table1[[#This Row],[marital_Together]]=1),1,0)</f>
        <v>0</v>
      </c>
      <c r="AN1132" t="str">
        <f>IF(Table1[[#This Row],[Income]]&gt;=70000,"HIGH INCOME","LOW INCOME")</f>
        <v>LOW INCOME</v>
      </c>
      <c r="AO1132" s="1" t="str">
        <f>IF(Table1[[#This Row],[MNT_TOTAL]]&gt;=900,"HIGH VALUE","LOW VALUE")</f>
        <v>HIGH VALUE</v>
      </c>
      <c r="AP11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32" s="1"/>
      <c r="AR1132" s="1"/>
    </row>
    <row r="1133" spans="1:44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56</v>
      </c>
      <c r="X1133">
        <v>2828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1422</v>
      </c>
      <c r="AJ1133">
        <v>1385</v>
      </c>
      <c r="AK1133">
        <v>0</v>
      </c>
      <c r="AL1133">
        <f t="shared" si="17"/>
        <v>1459</v>
      </c>
      <c r="AM1133">
        <f>IF(OR(Table1[[#This Row],[marital_Married]]=1,Table1[[#This Row],[marital_Together]]=1),1,0)</f>
        <v>1</v>
      </c>
      <c r="AN1133" t="str">
        <f>IF(Table1[[#This Row],[Income]]&gt;=70000,"HIGH INCOME","LOW INCOME")</f>
        <v>LOW INCOME</v>
      </c>
      <c r="AO1133" s="1" t="str">
        <f>IF(Table1[[#This Row],[MNT_TOTAL]]&gt;=900,"HIGH VALUE","LOW VALUE")</f>
        <v>HIGH VALUE</v>
      </c>
      <c r="AP11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33" s="1"/>
      <c r="AR1133" s="1"/>
    </row>
    <row r="1134" spans="1:44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41</v>
      </c>
      <c r="X1134">
        <v>2828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13</v>
      </c>
      <c r="AJ1134">
        <v>8</v>
      </c>
      <c r="AK1134">
        <v>0</v>
      </c>
      <c r="AL1134">
        <f t="shared" si="17"/>
        <v>18</v>
      </c>
      <c r="AM1134">
        <f>IF(OR(Table1[[#This Row],[marital_Married]]=1,Table1[[#This Row],[marital_Together]]=1),1,0)</f>
        <v>1</v>
      </c>
      <c r="AN1134" t="str">
        <f>IF(Table1[[#This Row],[Income]]&gt;=70000,"HIGH INCOME","LOW INCOME")</f>
        <v>LOW INCOME</v>
      </c>
      <c r="AO1134" s="1" t="str">
        <f>IF(Table1[[#This Row],[MNT_TOTAL]]&gt;=900,"HIGH VALUE","LOW VALUE")</f>
        <v>LOW VALUE</v>
      </c>
      <c r="AP11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34" s="1"/>
      <c r="AR1134" s="1"/>
    </row>
    <row r="1135" spans="1:44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46</v>
      </c>
      <c r="X1135">
        <v>2804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1719</v>
      </c>
      <c r="AJ1135">
        <v>1605</v>
      </c>
      <c r="AK1135">
        <v>1</v>
      </c>
      <c r="AL1135">
        <f t="shared" si="17"/>
        <v>1833</v>
      </c>
      <c r="AM1135">
        <f>IF(OR(Table1[[#This Row],[marital_Married]]=1,Table1[[#This Row],[marital_Together]]=1),1,0)</f>
        <v>1</v>
      </c>
      <c r="AN1135" t="str">
        <f>IF(Table1[[#This Row],[Income]]&gt;=70000,"HIGH INCOME","LOW INCOME")</f>
        <v>HIGH INCOME</v>
      </c>
      <c r="AO1135" s="1" t="str">
        <f>IF(Table1[[#This Row],[MNT_TOTAL]]&gt;=900,"HIGH VALUE","LOW VALUE")</f>
        <v>HIGH VALUE</v>
      </c>
      <c r="AP11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35" s="1"/>
      <c r="AR1135" s="1"/>
    </row>
    <row r="1136" spans="1:44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60</v>
      </c>
      <c r="X1136">
        <v>2246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224</v>
      </c>
      <c r="AJ1136">
        <v>211</v>
      </c>
      <c r="AK1136">
        <v>0</v>
      </c>
      <c r="AL1136">
        <f t="shared" si="17"/>
        <v>237</v>
      </c>
      <c r="AM1136">
        <f>IF(OR(Table1[[#This Row],[marital_Married]]=1,Table1[[#This Row],[marital_Together]]=1),1,0)</f>
        <v>1</v>
      </c>
      <c r="AN1136" t="str">
        <f>IF(Table1[[#This Row],[Income]]&gt;=70000,"HIGH INCOME","LOW INCOME")</f>
        <v>LOW INCOME</v>
      </c>
      <c r="AO1136" s="1" t="str">
        <f>IF(Table1[[#This Row],[MNT_TOTAL]]&gt;=900,"HIGH VALUE","LOW VALUE")</f>
        <v>LOW VALUE</v>
      </c>
      <c r="AP11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36" s="1"/>
      <c r="AR1136" s="1"/>
    </row>
    <row r="1137" spans="1:44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57</v>
      </c>
      <c r="X1137">
        <v>2191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46</v>
      </c>
      <c r="AJ1137">
        <v>44</v>
      </c>
      <c r="AK1137">
        <v>0</v>
      </c>
      <c r="AL1137">
        <f t="shared" si="17"/>
        <v>48</v>
      </c>
      <c r="AM1137">
        <f>IF(OR(Table1[[#This Row],[marital_Married]]=1,Table1[[#This Row],[marital_Together]]=1),1,0)</f>
        <v>0</v>
      </c>
      <c r="AN1137" t="str">
        <f>IF(Table1[[#This Row],[Income]]&gt;=70000,"HIGH INCOME","LOW INCOME")</f>
        <v>LOW INCOME</v>
      </c>
      <c r="AO1137" s="1" t="str">
        <f>IF(Table1[[#This Row],[MNT_TOTAL]]&gt;=900,"HIGH VALUE","LOW VALUE")</f>
        <v>LOW VALUE</v>
      </c>
      <c r="AP11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37" s="1"/>
      <c r="AR1137" s="1"/>
    </row>
    <row r="1138" spans="1:44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44</v>
      </c>
      <c r="X1138">
        <v>2502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496</v>
      </c>
      <c r="AJ1138">
        <v>477</v>
      </c>
      <c r="AK1138">
        <v>0</v>
      </c>
      <c r="AL1138">
        <f t="shared" si="17"/>
        <v>515</v>
      </c>
      <c r="AM1138">
        <f>IF(OR(Table1[[#This Row],[marital_Married]]=1,Table1[[#This Row],[marital_Together]]=1),1,0)</f>
        <v>1</v>
      </c>
      <c r="AN1138" t="str">
        <f>IF(Table1[[#This Row],[Income]]&gt;=70000,"HIGH INCOME","LOW INCOME")</f>
        <v>LOW INCOME</v>
      </c>
      <c r="AO1138" s="1" t="str">
        <f>IF(Table1[[#This Row],[MNT_TOTAL]]&gt;=900,"HIGH VALUE","LOW VALUE")</f>
        <v>LOW VALUE</v>
      </c>
      <c r="AP11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38" s="1"/>
      <c r="AR1138" s="1"/>
    </row>
    <row r="1139" spans="1:44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46</v>
      </c>
      <c r="X1139">
        <v>2730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1011</v>
      </c>
      <c r="AJ1139">
        <v>1002</v>
      </c>
      <c r="AK1139">
        <v>0</v>
      </c>
      <c r="AL1139">
        <f t="shared" si="17"/>
        <v>1020</v>
      </c>
      <c r="AM1139">
        <f>IF(OR(Table1[[#This Row],[marital_Married]]=1,Table1[[#This Row],[marital_Together]]=1),1,0)</f>
        <v>1</v>
      </c>
      <c r="AN1139" t="str">
        <f>IF(Table1[[#This Row],[Income]]&gt;=70000,"HIGH INCOME","LOW INCOME")</f>
        <v>LOW INCOME</v>
      </c>
      <c r="AO1139" s="1" t="str">
        <f>IF(Table1[[#This Row],[MNT_TOTAL]]&gt;=900,"HIGH VALUE","LOW VALUE")</f>
        <v>HIGH VALUE</v>
      </c>
      <c r="AP11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39" s="1"/>
      <c r="AR1139" s="1"/>
    </row>
    <row r="1140" spans="1:44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59</v>
      </c>
      <c r="X1140">
        <v>2190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1357</v>
      </c>
      <c r="AJ1140">
        <v>1344</v>
      </c>
      <c r="AK1140">
        <v>0</v>
      </c>
      <c r="AL1140">
        <f t="shared" si="17"/>
        <v>1370</v>
      </c>
      <c r="AM1140">
        <f>IF(OR(Table1[[#This Row],[marital_Married]]=1,Table1[[#This Row],[marital_Together]]=1),1,0)</f>
        <v>1</v>
      </c>
      <c r="AN1140" t="str">
        <f>IF(Table1[[#This Row],[Income]]&gt;=70000,"HIGH INCOME","LOW INCOME")</f>
        <v>HIGH INCOME</v>
      </c>
      <c r="AO1140" s="1" t="str">
        <f>IF(Table1[[#This Row],[MNT_TOTAL]]&gt;=900,"HIGH VALUE","LOW VALUE")</f>
        <v>HIGH VALUE</v>
      </c>
      <c r="AP11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40" s="1"/>
      <c r="AR1140" s="1"/>
    </row>
    <row r="1141" spans="1:44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69</v>
      </c>
      <c r="X1141">
        <v>2634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920</v>
      </c>
      <c r="AJ1141">
        <v>814</v>
      </c>
      <c r="AK1141">
        <v>0</v>
      </c>
      <c r="AL1141">
        <f t="shared" si="17"/>
        <v>1026</v>
      </c>
      <c r="AM1141">
        <f>IF(OR(Table1[[#This Row],[marital_Married]]=1,Table1[[#This Row],[marital_Together]]=1),1,0)</f>
        <v>1</v>
      </c>
      <c r="AN1141" t="str">
        <f>IF(Table1[[#This Row],[Income]]&gt;=70000,"HIGH INCOME","LOW INCOME")</f>
        <v>LOW INCOME</v>
      </c>
      <c r="AO1141" s="1" t="str">
        <f>IF(Table1[[#This Row],[MNT_TOTAL]]&gt;=900,"HIGH VALUE","LOW VALUE")</f>
        <v>HIGH VALUE</v>
      </c>
      <c r="AP11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41" s="1"/>
      <c r="AR1141" s="1"/>
    </row>
    <row r="1142" spans="1:44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55</v>
      </c>
      <c r="X1142">
        <v>2257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260</v>
      </c>
      <c r="AJ1142">
        <v>219</v>
      </c>
      <c r="AK1142">
        <v>0</v>
      </c>
      <c r="AL1142">
        <f t="shared" si="17"/>
        <v>301</v>
      </c>
      <c r="AM1142">
        <f>IF(OR(Table1[[#This Row],[marital_Married]]=1,Table1[[#This Row],[marital_Together]]=1),1,0)</f>
        <v>1</v>
      </c>
      <c r="AN1142" t="str">
        <f>IF(Table1[[#This Row],[Income]]&gt;=70000,"HIGH INCOME","LOW INCOME")</f>
        <v>LOW INCOME</v>
      </c>
      <c r="AO1142" s="1" t="str">
        <f>IF(Table1[[#This Row],[MNT_TOTAL]]&gt;=900,"HIGH VALUE","LOW VALUE")</f>
        <v>LOW VALUE</v>
      </c>
      <c r="AP11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2" s="1"/>
      <c r="AR1142" s="1"/>
    </row>
    <row r="1143" spans="1:44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64</v>
      </c>
      <c r="X1143">
        <v>2812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652</v>
      </c>
      <c r="AJ1143">
        <v>620</v>
      </c>
      <c r="AK1143">
        <v>0</v>
      </c>
      <c r="AL1143">
        <f t="shared" si="17"/>
        <v>684</v>
      </c>
      <c r="AM1143">
        <f>IF(OR(Table1[[#This Row],[marital_Married]]=1,Table1[[#This Row],[marital_Together]]=1),1,0)</f>
        <v>1</v>
      </c>
      <c r="AN1143" t="str">
        <f>IF(Table1[[#This Row],[Income]]&gt;=70000,"HIGH INCOME","LOW INCOME")</f>
        <v>LOW INCOME</v>
      </c>
      <c r="AO1143" s="1" t="str">
        <f>IF(Table1[[#This Row],[MNT_TOTAL]]&gt;=900,"HIGH VALUE","LOW VALUE")</f>
        <v>LOW VALUE</v>
      </c>
      <c r="AP11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3" s="1"/>
      <c r="AR1143" s="1"/>
    </row>
    <row r="1144" spans="1:44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55</v>
      </c>
      <c r="X1144">
        <v>2776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490</v>
      </c>
      <c r="AJ1144">
        <v>481</v>
      </c>
      <c r="AK1144">
        <v>1</v>
      </c>
      <c r="AL1144">
        <f t="shared" si="17"/>
        <v>499</v>
      </c>
      <c r="AM1144">
        <f>IF(OR(Table1[[#This Row],[marital_Married]]=1,Table1[[#This Row],[marital_Together]]=1),1,0)</f>
        <v>1</v>
      </c>
      <c r="AN1144" t="str">
        <f>IF(Table1[[#This Row],[Income]]&gt;=70000,"HIGH INCOME","LOW INCOME")</f>
        <v>LOW INCOME</v>
      </c>
      <c r="AO1144" s="1" t="str">
        <f>IF(Table1[[#This Row],[MNT_TOTAL]]&gt;=900,"HIGH VALUE","LOW VALUE")</f>
        <v>LOW VALUE</v>
      </c>
      <c r="AP11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4" s="1"/>
      <c r="AR1144" s="1"/>
    </row>
    <row r="1145" spans="1:44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26</v>
      </c>
      <c r="X1145">
        <v>2835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950</v>
      </c>
      <c r="AJ1145">
        <v>896</v>
      </c>
      <c r="AK1145">
        <v>0</v>
      </c>
      <c r="AL1145">
        <f t="shared" si="17"/>
        <v>1004</v>
      </c>
      <c r="AM1145">
        <f>IF(OR(Table1[[#This Row],[marital_Married]]=1,Table1[[#This Row],[marital_Together]]=1),1,0)</f>
        <v>1</v>
      </c>
      <c r="AN1145" t="str">
        <f>IF(Table1[[#This Row],[Income]]&gt;=70000,"HIGH INCOME","LOW INCOME")</f>
        <v>HIGH INCOME</v>
      </c>
      <c r="AO1145" s="1" t="str">
        <f>IF(Table1[[#This Row],[MNT_TOTAL]]&gt;=900,"HIGH VALUE","LOW VALUE")</f>
        <v>HIGH VALUE</v>
      </c>
      <c r="AP11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45" s="1"/>
      <c r="AR1145" s="1"/>
    </row>
    <row r="1146" spans="1:44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46</v>
      </c>
      <c r="X1146">
        <v>2418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216</v>
      </c>
      <c r="AJ1146">
        <v>214</v>
      </c>
      <c r="AK1146">
        <v>0</v>
      </c>
      <c r="AL1146">
        <f t="shared" si="17"/>
        <v>218</v>
      </c>
      <c r="AM1146">
        <f>IF(OR(Table1[[#This Row],[marital_Married]]=1,Table1[[#This Row],[marital_Together]]=1),1,0)</f>
        <v>1</v>
      </c>
      <c r="AN1146" t="str">
        <f>IF(Table1[[#This Row],[Income]]&gt;=70000,"HIGH INCOME","LOW INCOME")</f>
        <v>LOW INCOME</v>
      </c>
      <c r="AO1146" s="1" t="str">
        <f>IF(Table1[[#This Row],[MNT_TOTAL]]&gt;=900,"HIGH VALUE","LOW VALUE")</f>
        <v>LOW VALUE</v>
      </c>
      <c r="AP11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6" s="1"/>
      <c r="AR1146" s="1"/>
    </row>
    <row r="1147" spans="1:44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48</v>
      </c>
      <c r="X1147">
        <v>2561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595</v>
      </c>
      <c r="AJ1147">
        <v>584</v>
      </c>
      <c r="AK1147">
        <v>0</v>
      </c>
      <c r="AL1147">
        <f t="shared" si="17"/>
        <v>606</v>
      </c>
      <c r="AM1147">
        <f>IF(OR(Table1[[#This Row],[marital_Married]]=1,Table1[[#This Row],[marital_Together]]=1),1,0)</f>
        <v>1</v>
      </c>
      <c r="AN1147" t="str">
        <f>IF(Table1[[#This Row],[Income]]&gt;=70000,"HIGH INCOME","LOW INCOME")</f>
        <v>LOW INCOME</v>
      </c>
      <c r="AO1147" s="1" t="str">
        <f>IF(Table1[[#This Row],[MNT_TOTAL]]&gt;=900,"HIGH VALUE","LOW VALUE")</f>
        <v>LOW VALUE</v>
      </c>
      <c r="AP11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7" s="1"/>
      <c r="AR1147" s="1"/>
    </row>
    <row r="1148" spans="1:44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52</v>
      </c>
      <c r="X1148">
        <v>2518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67</v>
      </c>
      <c r="AJ1148">
        <v>59</v>
      </c>
      <c r="AK1148">
        <v>0</v>
      </c>
      <c r="AL1148">
        <f t="shared" si="17"/>
        <v>75</v>
      </c>
      <c r="AM1148">
        <f>IF(OR(Table1[[#This Row],[marital_Married]]=1,Table1[[#This Row],[marital_Together]]=1),1,0)</f>
        <v>1</v>
      </c>
      <c r="AN1148" t="str">
        <f>IF(Table1[[#This Row],[Income]]&gt;=70000,"HIGH INCOME","LOW INCOME")</f>
        <v>LOW INCOME</v>
      </c>
      <c r="AO1148" s="1" t="str">
        <f>IF(Table1[[#This Row],[MNT_TOTAL]]&gt;=900,"HIGH VALUE","LOW VALUE")</f>
        <v>LOW VALUE</v>
      </c>
      <c r="AP11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8" s="1"/>
      <c r="AR1148" s="1"/>
    </row>
    <row r="1149" spans="1:44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52</v>
      </c>
      <c r="X1149">
        <v>2835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93</v>
      </c>
      <c r="AJ1149">
        <v>80</v>
      </c>
      <c r="AK1149">
        <v>0</v>
      </c>
      <c r="AL1149">
        <f t="shared" si="17"/>
        <v>106</v>
      </c>
      <c r="AM1149">
        <f>IF(OR(Table1[[#This Row],[marital_Married]]=1,Table1[[#This Row],[marital_Together]]=1),1,0)</f>
        <v>1</v>
      </c>
      <c r="AN1149" t="str">
        <f>IF(Table1[[#This Row],[Income]]&gt;=70000,"HIGH INCOME","LOW INCOME")</f>
        <v>LOW INCOME</v>
      </c>
      <c r="AO1149" s="1" t="str">
        <f>IF(Table1[[#This Row],[MNT_TOTAL]]&gt;=900,"HIGH VALUE","LOW VALUE")</f>
        <v>LOW VALUE</v>
      </c>
      <c r="AP11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49" s="1"/>
      <c r="AR1149" s="1"/>
    </row>
    <row r="1150" spans="1:44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72</v>
      </c>
      <c r="X1150">
        <v>2555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893</v>
      </c>
      <c r="AJ1150">
        <v>796</v>
      </c>
      <c r="AK1150">
        <v>0</v>
      </c>
      <c r="AL1150">
        <f t="shared" si="17"/>
        <v>990</v>
      </c>
      <c r="AM1150">
        <f>IF(OR(Table1[[#This Row],[marital_Married]]=1,Table1[[#This Row],[marital_Together]]=1),1,0)</f>
        <v>1</v>
      </c>
      <c r="AN1150" t="str">
        <f>IF(Table1[[#This Row],[Income]]&gt;=70000,"HIGH INCOME","LOW INCOME")</f>
        <v>HIGH INCOME</v>
      </c>
      <c r="AO1150" s="1" t="str">
        <f>IF(Table1[[#This Row],[MNT_TOTAL]]&gt;=900,"HIGH VALUE","LOW VALUE")</f>
        <v>HIGH VALUE</v>
      </c>
      <c r="AP11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50" s="1"/>
      <c r="AR1150" s="1"/>
    </row>
    <row r="1151" spans="1:44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51</v>
      </c>
      <c r="X1151">
        <v>2317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1047</v>
      </c>
      <c r="AJ1151">
        <v>997</v>
      </c>
      <c r="AK1151">
        <v>0</v>
      </c>
      <c r="AL1151">
        <f t="shared" si="17"/>
        <v>1097</v>
      </c>
      <c r="AM1151">
        <f>IF(OR(Table1[[#This Row],[marital_Married]]=1,Table1[[#This Row],[marital_Together]]=1),1,0)</f>
        <v>0</v>
      </c>
      <c r="AN1151" t="str">
        <f>IF(Table1[[#This Row],[Income]]&gt;=70000,"HIGH INCOME","LOW INCOME")</f>
        <v>HIGH INCOME</v>
      </c>
      <c r="AO1151" s="1" t="str">
        <f>IF(Table1[[#This Row],[MNT_TOTAL]]&gt;=900,"HIGH VALUE","LOW VALUE")</f>
        <v>HIGH VALUE</v>
      </c>
      <c r="AP11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51" s="1"/>
      <c r="AR1151" s="1"/>
    </row>
    <row r="1152" spans="1:44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24</v>
      </c>
      <c r="X1152">
        <v>2291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8</v>
      </c>
      <c r="AJ1152">
        <v>0</v>
      </c>
      <c r="AK1152">
        <v>1</v>
      </c>
      <c r="AL1152">
        <f t="shared" si="17"/>
        <v>16</v>
      </c>
      <c r="AM1152">
        <f>IF(OR(Table1[[#This Row],[marital_Married]]=1,Table1[[#This Row],[marital_Together]]=1),1,0)</f>
        <v>1</v>
      </c>
      <c r="AN1152" t="str">
        <f>IF(Table1[[#This Row],[Income]]&gt;=70000,"HIGH INCOME","LOW INCOME")</f>
        <v>LOW INCOME</v>
      </c>
      <c r="AO1152" s="1" t="str">
        <f>IF(Table1[[#This Row],[MNT_TOTAL]]&gt;=900,"HIGH VALUE","LOW VALUE")</f>
        <v>LOW VALUE</v>
      </c>
      <c r="AP11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2" s="1"/>
      <c r="AR1152" s="1"/>
    </row>
    <row r="1153" spans="1:44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46</v>
      </c>
      <c r="X1153">
        <v>2263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22</v>
      </c>
      <c r="AJ1153">
        <v>10</v>
      </c>
      <c r="AK1153">
        <v>0</v>
      </c>
      <c r="AL1153">
        <f t="shared" si="17"/>
        <v>34</v>
      </c>
      <c r="AM1153">
        <f>IF(OR(Table1[[#This Row],[marital_Married]]=1,Table1[[#This Row],[marital_Together]]=1),1,0)</f>
        <v>1</v>
      </c>
      <c r="AN1153" t="str">
        <f>IF(Table1[[#This Row],[Income]]&gt;=70000,"HIGH INCOME","LOW INCOME")</f>
        <v>LOW INCOME</v>
      </c>
      <c r="AO1153" s="1" t="str">
        <f>IF(Table1[[#This Row],[MNT_TOTAL]]&gt;=900,"HIGH VALUE","LOW VALUE")</f>
        <v>LOW VALUE</v>
      </c>
      <c r="AP11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3" s="1"/>
      <c r="AR1153" s="1"/>
    </row>
    <row r="1154" spans="1:44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30</v>
      </c>
      <c r="X1154">
        <v>2831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1678</v>
      </c>
      <c r="AJ1154">
        <v>1645</v>
      </c>
      <c r="AK1154">
        <v>0</v>
      </c>
      <c r="AL1154">
        <f t="shared" ref="AL1154:AL1217" si="18">SUM(E1154:J1154)</f>
        <v>1711</v>
      </c>
      <c r="AM1154">
        <f>IF(OR(Table1[[#This Row],[marital_Married]]=1,Table1[[#This Row],[marital_Together]]=1),1,0)</f>
        <v>1</v>
      </c>
      <c r="AN1154" t="str">
        <f>IF(Table1[[#This Row],[Income]]&gt;=70000,"HIGH INCOME","LOW INCOME")</f>
        <v>HIGH INCOME</v>
      </c>
      <c r="AO1154" s="1" t="str">
        <f>IF(Table1[[#This Row],[MNT_TOTAL]]&gt;=900,"HIGH VALUE","LOW VALUE")</f>
        <v>HIGH VALUE</v>
      </c>
      <c r="AP11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54" s="1"/>
      <c r="AR1154" s="1"/>
    </row>
    <row r="1155" spans="1:44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63</v>
      </c>
      <c r="X1155">
        <v>2327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391</v>
      </c>
      <c r="AJ1155">
        <v>344</v>
      </c>
      <c r="AK1155">
        <v>1</v>
      </c>
      <c r="AL1155">
        <f t="shared" si="18"/>
        <v>438</v>
      </c>
      <c r="AM1155">
        <f>IF(OR(Table1[[#This Row],[marital_Married]]=1,Table1[[#This Row],[marital_Together]]=1),1,0)</f>
        <v>1</v>
      </c>
      <c r="AN1155" t="str">
        <f>IF(Table1[[#This Row],[Income]]&gt;=70000,"HIGH INCOME","LOW INCOME")</f>
        <v>LOW INCOME</v>
      </c>
      <c r="AO1155" s="1" t="str">
        <f>IF(Table1[[#This Row],[MNT_TOTAL]]&gt;=900,"HIGH VALUE","LOW VALUE")</f>
        <v>LOW VALUE</v>
      </c>
      <c r="AP11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5" s="1"/>
      <c r="AR1155" s="1"/>
    </row>
    <row r="1156" spans="1:44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41</v>
      </c>
      <c r="X1156">
        <v>2696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61</v>
      </c>
      <c r="AJ1156">
        <v>47</v>
      </c>
      <c r="AK1156">
        <v>0</v>
      </c>
      <c r="AL1156">
        <f t="shared" si="18"/>
        <v>75</v>
      </c>
      <c r="AM1156">
        <f>IF(OR(Table1[[#This Row],[marital_Married]]=1,Table1[[#This Row],[marital_Together]]=1),1,0)</f>
        <v>1</v>
      </c>
      <c r="AN1156" t="str">
        <f>IF(Table1[[#This Row],[Income]]&gt;=70000,"HIGH INCOME","LOW INCOME")</f>
        <v>LOW INCOME</v>
      </c>
      <c r="AO1156" s="1" t="str">
        <f>IF(Table1[[#This Row],[MNT_TOTAL]]&gt;=900,"HIGH VALUE","LOW VALUE")</f>
        <v>LOW VALUE</v>
      </c>
      <c r="AP11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6" s="1"/>
      <c r="AR1156" s="1"/>
    </row>
    <row r="1157" spans="1:44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60</v>
      </c>
      <c r="X1157">
        <v>2387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221</v>
      </c>
      <c r="AJ1157">
        <v>217</v>
      </c>
      <c r="AK1157">
        <v>0</v>
      </c>
      <c r="AL1157">
        <f t="shared" si="18"/>
        <v>225</v>
      </c>
      <c r="AM1157">
        <f>IF(OR(Table1[[#This Row],[marital_Married]]=1,Table1[[#This Row],[marital_Together]]=1),1,0)</f>
        <v>1</v>
      </c>
      <c r="AN1157" t="str">
        <f>IF(Table1[[#This Row],[Income]]&gt;=70000,"HIGH INCOME","LOW INCOME")</f>
        <v>LOW INCOME</v>
      </c>
      <c r="AO1157" s="1" t="str">
        <f>IF(Table1[[#This Row],[MNT_TOTAL]]&gt;=900,"HIGH VALUE","LOW VALUE")</f>
        <v>LOW VALUE</v>
      </c>
      <c r="AP11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7" s="1"/>
      <c r="AR1157" s="1"/>
    </row>
    <row r="1158" spans="1:44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68</v>
      </c>
      <c r="X1158">
        <v>2762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16</v>
      </c>
      <c r="AJ1158">
        <v>14</v>
      </c>
      <c r="AK1158">
        <v>0</v>
      </c>
      <c r="AL1158">
        <f t="shared" si="18"/>
        <v>18</v>
      </c>
      <c r="AM1158">
        <f>IF(OR(Table1[[#This Row],[marital_Married]]=1,Table1[[#This Row],[marital_Together]]=1),1,0)</f>
        <v>1</v>
      </c>
      <c r="AN1158" t="str">
        <f>IF(Table1[[#This Row],[Income]]&gt;=70000,"HIGH INCOME","LOW INCOME")</f>
        <v>LOW INCOME</v>
      </c>
      <c r="AO1158" s="1" t="str">
        <f>IF(Table1[[#This Row],[MNT_TOTAL]]&gt;=900,"HIGH VALUE","LOW VALUE")</f>
        <v>LOW VALUE</v>
      </c>
      <c r="AP11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8" s="1"/>
      <c r="AR1158" s="1"/>
    </row>
    <row r="1159" spans="1:44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39</v>
      </c>
      <c r="X1159">
        <v>2567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445</v>
      </c>
      <c r="AJ1159">
        <v>420</v>
      </c>
      <c r="AK1159">
        <v>0</v>
      </c>
      <c r="AL1159">
        <f t="shared" si="18"/>
        <v>470</v>
      </c>
      <c r="AM1159">
        <f>IF(OR(Table1[[#This Row],[marital_Married]]=1,Table1[[#This Row],[marital_Together]]=1),1,0)</f>
        <v>1</v>
      </c>
      <c r="AN1159" t="str">
        <f>IF(Table1[[#This Row],[Income]]&gt;=70000,"HIGH INCOME","LOW INCOME")</f>
        <v>LOW INCOME</v>
      </c>
      <c r="AO1159" s="1" t="str">
        <f>IF(Table1[[#This Row],[MNT_TOTAL]]&gt;=900,"HIGH VALUE","LOW VALUE")</f>
        <v>LOW VALUE</v>
      </c>
      <c r="AP11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59" s="1"/>
      <c r="AR1159" s="1"/>
    </row>
    <row r="1160" spans="1:44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39</v>
      </c>
      <c r="X1160">
        <v>2601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72</v>
      </c>
      <c r="AJ1160">
        <v>53</v>
      </c>
      <c r="AK1160">
        <v>0</v>
      </c>
      <c r="AL1160">
        <f t="shared" si="18"/>
        <v>91</v>
      </c>
      <c r="AM1160">
        <f>IF(OR(Table1[[#This Row],[marital_Married]]=1,Table1[[#This Row],[marital_Together]]=1),1,0)</f>
        <v>0</v>
      </c>
      <c r="AN1160" t="str">
        <f>IF(Table1[[#This Row],[Income]]&gt;=70000,"HIGH INCOME","LOW INCOME")</f>
        <v>LOW INCOME</v>
      </c>
      <c r="AO1160" s="1" t="str">
        <f>IF(Table1[[#This Row],[MNT_TOTAL]]&gt;=900,"HIGH VALUE","LOW VALUE")</f>
        <v>LOW VALUE</v>
      </c>
      <c r="AP11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0" s="1"/>
      <c r="AR1160" s="1"/>
    </row>
    <row r="1161" spans="1:44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29</v>
      </c>
      <c r="X1161">
        <v>2295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2429</v>
      </c>
      <c r="AJ1161">
        <v>2333</v>
      </c>
      <c r="AK1161">
        <v>1</v>
      </c>
      <c r="AL1161">
        <f t="shared" si="18"/>
        <v>2525</v>
      </c>
      <c r="AM1161">
        <f>IF(OR(Table1[[#This Row],[marital_Married]]=1,Table1[[#This Row],[marital_Together]]=1),1,0)</f>
        <v>0</v>
      </c>
      <c r="AN1161" t="str">
        <f>IF(Table1[[#This Row],[Income]]&gt;=70000,"HIGH INCOME","LOW INCOME")</f>
        <v>HIGH INCOME</v>
      </c>
      <c r="AO1161" s="1" t="str">
        <f>IF(Table1[[#This Row],[MNT_TOTAL]]&gt;=900,"HIGH VALUE","LOW VALUE")</f>
        <v>HIGH VALUE</v>
      </c>
      <c r="AP11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61" s="1"/>
      <c r="AR1161" s="1"/>
    </row>
    <row r="1162" spans="1:44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70</v>
      </c>
      <c r="X1162">
        <v>2691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485</v>
      </c>
      <c r="AJ1162">
        <v>466</v>
      </c>
      <c r="AK1162">
        <v>0</v>
      </c>
      <c r="AL1162">
        <f t="shared" si="18"/>
        <v>504</v>
      </c>
      <c r="AM1162">
        <f>IF(OR(Table1[[#This Row],[marital_Married]]=1,Table1[[#This Row],[marital_Together]]=1),1,0)</f>
        <v>1</v>
      </c>
      <c r="AN1162" t="str">
        <f>IF(Table1[[#This Row],[Income]]&gt;=70000,"HIGH INCOME","LOW INCOME")</f>
        <v>LOW INCOME</v>
      </c>
      <c r="AO1162" s="1" t="str">
        <f>IF(Table1[[#This Row],[MNT_TOTAL]]&gt;=900,"HIGH VALUE","LOW VALUE")</f>
        <v>LOW VALUE</v>
      </c>
      <c r="AP11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62" s="1"/>
      <c r="AR1162" s="1"/>
    </row>
    <row r="1163" spans="1:44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63</v>
      </c>
      <c r="X1163">
        <v>2699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224</v>
      </c>
      <c r="AJ1163">
        <v>213</v>
      </c>
      <c r="AK1163">
        <v>0</v>
      </c>
      <c r="AL1163">
        <f t="shared" si="18"/>
        <v>235</v>
      </c>
      <c r="AM1163">
        <f>IF(OR(Table1[[#This Row],[marital_Married]]=1,Table1[[#This Row],[marital_Together]]=1),1,0)</f>
        <v>1</v>
      </c>
      <c r="AN1163" t="str">
        <f>IF(Table1[[#This Row],[Income]]&gt;=70000,"HIGH INCOME","LOW INCOME")</f>
        <v>LOW INCOME</v>
      </c>
      <c r="AO1163" s="1" t="str">
        <f>IF(Table1[[#This Row],[MNT_TOTAL]]&gt;=900,"HIGH VALUE","LOW VALUE")</f>
        <v>LOW VALUE</v>
      </c>
      <c r="AP11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63" s="1"/>
      <c r="AR1163" s="1"/>
    </row>
    <row r="1164" spans="1:44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59</v>
      </c>
      <c r="X1164">
        <v>2685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1208</v>
      </c>
      <c r="AJ1164">
        <v>1184</v>
      </c>
      <c r="AK1164">
        <v>1</v>
      </c>
      <c r="AL1164">
        <f t="shared" si="18"/>
        <v>1232</v>
      </c>
      <c r="AM1164">
        <f>IF(OR(Table1[[#This Row],[marital_Married]]=1,Table1[[#This Row],[marital_Together]]=1),1,0)</f>
        <v>0</v>
      </c>
      <c r="AN1164" t="str">
        <f>IF(Table1[[#This Row],[Income]]&gt;=70000,"HIGH INCOME","LOW INCOME")</f>
        <v>LOW INCOME</v>
      </c>
      <c r="AO1164" s="1" t="str">
        <f>IF(Table1[[#This Row],[MNT_TOTAL]]&gt;=900,"HIGH VALUE","LOW VALUE")</f>
        <v>HIGH VALUE</v>
      </c>
      <c r="AP11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4" s="1"/>
      <c r="AR1164" s="1"/>
    </row>
    <row r="1165" spans="1:44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62</v>
      </c>
      <c r="X1165">
        <v>2581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48</v>
      </c>
      <c r="AJ1165">
        <v>8</v>
      </c>
      <c r="AK1165">
        <v>0</v>
      </c>
      <c r="AL1165">
        <f t="shared" si="18"/>
        <v>88</v>
      </c>
      <c r="AM1165">
        <f>IF(OR(Table1[[#This Row],[marital_Married]]=1,Table1[[#This Row],[marital_Together]]=1),1,0)</f>
        <v>0</v>
      </c>
      <c r="AN1165" t="str">
        <f>IF(Table1[[#This Row],[Income]]&gt;=70000,"HIGH INCOME","LOW INCOME")</f>
        <v>LOW INCOME</v>
      </c>
      <c r="AO1165" s="1" t="str">
        <f>IF(Table1[[#This Row],[MNT_TOTAL]]&gt;=900,"HIGH VALUE","LOW VALUE")</f>
        <v>LOW VALUE</v>
      </c>
      <c r="AP11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5" s="1"/>
      <c r="AR1165" s="1"/>
    </row>
    <row r="1166" spans="1:44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49</v>
      </c>
      <c r="X1166">
        <v>2211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16</v>
      </c>
      <c r="AJ1166">
        <v>15</v>
      </c>
      <c r="AK1166">
        <v>0</v>
      </c>
      <c r="AL1166">
        <f t="shared" si="18"/>
        <v>17</v>
      </c>
      <c r="AM1166">
        <f>IF(OR(Table1[[#This Row],[marital_Married]]=1,Table1[[#This Row],[marital_Together]]=1),1,0)</f>
        <v>0</v>
      </c>
      <c r="AN1166" t="str">
        <f>IF(Table1[[#This Row],[Income]]&gt;=70000,"HIGH INCOME","LOW INCOME")</f>
        <v>LOW INCOME</v>
      </c>
      <c r="AO1166" s="1" t="str">
        <f>IF(Table1[[#This Row],[MNT_TOTAL]]&gt;=900,"HIGH VALUE","LOW VALUE")</f>
        <v>LOW VALUE</v>
      </c>
      <c r="AP11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6" s="1"/>
      <c r="AR1166" s="1"/>
    </row>
    <row r="1167" spans="1:44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35</v>
      </c>
      <c r="X1167">
        <v>2490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19</v>
      </c>
      <c r="AJ1167">
        <v>14</v>
      </c>
      <c r="AK1167">
        <v>0</v>
      </c>
      <c r="AL1167">
        <f t="shared" si="18"/>
        <v>24</v>
      </c>
      <c r="AM1167">
        <f>IF(OR(Table1[[#This Row],[marital_Married]]=1,Table1[[#This Row],[marital_Together]]=1),1,0)</f>
        <v>0</v>
      </c>
      <c r="AN1167" t="str">
        <f>IF(Table1[[#This Row],[Income]]&gt;=70000,"HIGH INCOME","LOW INCOME")</f>
        <v>LOW INCOME</v>
      </c>
      <c r="AO1167" s="1" t="str">
        <f>IF(Table1[[#This Row],[MNT_TOTAL]]&gt;=900,"HIGH VALUE","LOW VALUE")</f>
        <v>LOW VALUE</v>
      </c>
      <c r="AP11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7" s="1"/>
      <c r="AR1167" s="1"/>
    </row>
    <row r="1168" spans="1:44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55</v>
      </c>
      <c r="X1168">
        <v>2470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50</v>
      </c>
      <c r="AJ1168">
        <v>40</v>
      </c>
      <c r="AK1168">
        <v>0</v>
      </c>
      <c r="AL1168">
        <f t="shared" si="18"/>
        <v>60</v>
      </c>
      <c r="AM1168">
        <f>IF(OR(Table1[[#This Row],[marital_Married]]=1,Table1[[#This Row],[marital_Together]]=1),1,0)</f>
        <v>1</v>
      </c>
      <c r="AN1168" t="str">
        <f>IF(Table1[[#This Row],[Income]]&gt;=70000,"HIGH INCOME","LOW INCOME")</f>
        <v>LOW INCOME</v>
      </c>
      <c r="AO1168" s="1" t="str">
        <f>IF(Table1[[#This Row],[MNT_TOTAL]]&gt;=900,"HIGH VALUE","LOW VALUE")</f>
        <v>LOW VALUE</v>
      </c>
      <c r="AP11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68" s="1"/>
      <c r="AR1168" s="1"/>
    </row>
    <row r="1169" spans="1:44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68</v>
      </c>
      <c r="X1169">
        <v>2467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1000</v>
      </c>
      <c r="AJ1169">
        <v>980</v>
      </c>
      <c r="AK1169">
        <v>1</v>
      </c>
      <c r="AL1169">
        <f t="shared" si="18"/>
        <v>1020</v>
      </c>
      <c r="AM1169">
        <f>IF(OR(Table1[[#This Row],[marital_Married]]=1,Table1[[#This Row],[marital_Together]]=1),1,0)</f>
        <v>0</v>
      </c>
      <c r="AN1169" t="str">
        <f>IF(Table1[[#This Row],[Income]]&gt;=70000,"HIGH INCOME","LOW INCOME")</f>
        <v>LOW INCOME</v>
      </c>
      <c r="AO1169" s="1" t="str">
        <f>IF(Table1[[#This Row],[MNT_TOTAL]]&gt;=900,"HIGH VALUE","LOW VALUE")</f>
        <v>HIGH VALUE</v>
      </c>
      <c r="AP11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69" s="1"/>
      <c r="AR1169" s="1"/>
    </row>
    <row r="1170" spans="1:44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58</v>
      </c>
      <c r="X1170">
        <v>2729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151</v>
      </c>
      <c r="AJ1170">
        <v>147</v>
      </c>
      <c r="AK1170">
        <v>0</v>
      </c>
      <c r="AL1170">
        <f t="shared" si="18"/>
        <v>155</v>
      </c>
      <c r="AM1170">
        <f>IF(OR(Table1[[#This Row],[marital_Married]]=1,Table1[[#This Row],[marital_Together]]=1),1,0)</f>
        <v>1</v>
      </c>
      <c r="AN1170" t="str">
        <f>IF(Table1[[#This Row],[Income]]&gt;=70000,"HIGH INCOME","LOW INCOME")</f>
        <v>LOW INCOME</v>
      </c>
      <c r="AO1170" s="1" t="str">
        <f>IF(Table1[[#This Row],[MNT_TOTAL]]&gt;=900,"HIGH VALUE","LOW VALUE")</f>
        <v>LOW VALUE</v>
      </c>
      <c r="AP11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70" s="1"/>
      <c r="AR1170" s="1"/>
    </row>
    <row r="1171" spans="1:44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46</v>
      </c>
      <c r="X1171">
        <v>2281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38</v>
      </c>
      <c r="AJ1171">
        <v>25</v>
      </c>
      <c r="AK1171">
        <v>0</v>
      </c>
      <c r="AL1171">
        <f t="shared" si="18"/>
        <v>51</v>
      </c>
      <c r="AM1171">
        <f>IF(OR(Table1[[#This Row],[marital_Married]]=1,Table1[[#This Row],[marital_Together]]=1),1,0)</f>
        <v>1</v>
      </c>
      <c r="AN1171" t="str">
        <f>IF(Table1[[#This Row],[Income]]&gt;=70000,"HIGH INCOME","LOW INCOME")</f>
        <v>LOW INCOME</v>
      </c>
      <c r="AO1171" s="1" t="str">
        <f>IF(Table1[[#This Row],[MNT_TOTAL]]&gt;=900,"HIGH VALUE","LOW VALUE")</f>
        <v>LOW VALUE</v>
      </c>
      <c r="AP11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71" s="1"/>
      <c r="AR1171" s="1"/>
    </row>
    <row r="1172" spans="1:44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50</v>
      </c>
      <c r="X1172">
        <v>2713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1713</v>
      </c>
      <c r="AJ1172">
        <v>1614</v>
      </c>
      <c r="AK1172">
        <v>0</v>
      </c>
      <c r="AL1172">
        <f t="shared" si="18"/>
        <v>1812</v>
      </c>
      <c r="AM1172">
        <f>IF(OR(Table1[[#This Row],[marital_Married]]=1,Table1[[#This Row],[marital_Together]]=1),1,0)</f>
        <v>0</v>
      </c>
      <c r="AN1172" t="str">
        <f>IF(Table1[[#This Row],[Income]]&gt;=70000,"HIGH INCOME","LOW INCOME")</f>
        <v>HIGH INCOME</v>
      </c>
      <c r="AO1172" s="1" t="str">
        <f>IF(Table1[[#This Row],[MNT_TOTAL]]&gt;=900,"HIGH VALUE","LOW VALUE")</f>
        <v>HIGH VALUE</v>
      </c>
      <c r="AP11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172" s="1"/>
      <c r="AR1172" s="1"/>
    </row>
    <row r="1173" spans="1:44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51</v>
      </c>
      <c r="X1173">
        <v>2748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1419</v>
      </c>
      <c r="AJ1173">
        <v>1377</v>
      </c>
      <c r="AK1173">
        <v>2</v>
      </c>
      <c r="AL1173">
        <f t="shared" si="18"/>
        <v>1461</v>
      </c>
      <c r="AM1173">
        <f>IF(OR(Table1[[#This Row],[marital_Married]]=1,Table1[[#This Row],[marital_Together]]=1),1,0)</f>
        <v>0</v>
      </c>
      <c r="AN1173" t="str">
        <f>IF(Table1[[#This Row],[Income]]&gt;=70000,"HIGH INCOME","LOW INCOME")</f>
        <v>LOW INCOME</v>
      </c>
      <c r="AO1173" s="1" t="str">
        <f>IF(Table1[[#This Row],[MNT_TOTAL]]&gt;=900,"HIGH VALUE","LOW VALUE")</f>
        <v>HIGH VALUE</v>
      </c>
      <c r="AP11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73" s="1"/>
      <c r="AR1173" s="1"/>
    </row>
    <row r="1174" spans="1:44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60</v>
      </c>
      <c r="X1174">
        <v>2229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67</v>
      </c>
      <c r="AJ1174">
        <v>38</v>
      </c>
      <c r="AK1174">
        <v>0</v>
      </c>
      <c r="AL1174">
        <f t="shared" si="18"/>
        <v>96</v>
      </c>
      <c r="AM1174">
        <f>IF(OR(Table1[[#This Row],[marital_Married]]=1,Table1[[#This Row],[marital_Together]]=1),1,0)</f>
        <v>0</v>
      </c>
      <c r="AN1174" t="str">
        <f>IF(Table1[[#This Row],[Income]]&gt;=70000,"HIGH INCOME","LOW INCOME")</f>
        <v>LOW INCOME</v>
      </c>
      <c r="AO1174" s="1" t="str">
        <f>IF(Table1[[#This Row],[MNT_TOTAL]]&gt;=900,"HIGH VALUE","LOW VALUE")</f>
        <v>LOW VALUE</v>
      </c>
      <c r="AP11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74" s="1"/>
      <c r="AR1174" s="1"/>
    </row>
    <row r="1175" spans="1:44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68</v>
      </c>
      <c r="X1175">
        <v>2291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150</v>
      </c>
      <c r="AJ1175">
        <v>140</v>
      </c>
      <c r="AK1175">
        <v>0</v>
      </c>
      <c r="AL1175">
        <f t="shared" si="18"/>
        <v>160</v>
      </c>
      <c r="AM1175">
        <f>IF(OR(Table1[[#This Row],[marital_Married]]=1,Table1[[#This Row],[marital_Together]]=1),1,0)</f>
        <v>0</v>
      </c>
      <c r="AN1175" t="str">
        <f>IF(Table1[[#This Row],[Income]]&gt;=70000,"HIGH INCOME","LOW INCOME")</f>
        <v>LOW INCOME</v>
      </c>
      <c r="AO1175" s="1" t="str">
        <f>IF(Table1[[#This Row],[MNT_TOTAL]]&gt;=900,"HIGH VALUE","LOW VALUE")</f>
        <v>LOW VALUE</v>
      </c>
      <c r="AP11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75" s="1"/>
      <c r="AR1175" s="1"/>
    </row>
    <row r="1176" spans="1:44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51</v>
      </c>
      <c r="X1176">
        <v>2592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116</v>
      </c>
      <c r="AJ1176">
        <v>93</v>
      </c>
      <c r="AK1176">
        <v>0</v>
      </c>
      <c r="AL1176">
        <f t="shared" si="18"/>
        <v>139</v>
      </c>
      <c r="AM1176">
        <f>IF(OR(Table1[[#This Row],[marital_Married]]=1,Table1[[#This Row],[marital_Together]]=1),1,0)</f>
        <v>1</v>
      </c>
      <c r="AN1176" t="str">
        <f>IF(Table1[[#This Row],[Income]]&gt;=70000,"HIGH INCOME","LOW INCOME")</f>
        <v>LOW INCOME</v>
      </c>
      <c r="AO1176" s="1" t="str">
        <f>IF(Table1[[#This Row],[MNT_TOTAL]]&gt;=900,"HIGH VALUE","LOW VALUE")</f>
        <v>LOW VALUE</v>
      </c>
      <c r="AP11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76" s="1"/>
      <c r="AR1176" s="1"/>
    </row>
    <row r="1177" spans="1:44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52</v>
      </c>
      <c r="X1177">
        <v>2593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777</v>
      </c>
      <c r="AJ1177">
        <v>646</v>
      </c>
      <c r="AK1177">
        <v>0</v>
      </c>
      <c r="AL1177">
        <f t="shared" si="18"/>
        <v>908</v>
      </c>
      <c r="AM1177">
        <f>IF(OR(Table1[[#This Row],[marital_Married]]=1,Table1[[#This Row],[marital_Together]]=1),1,0)</f>
        <v>0</v>
      </c>
      <c r="AN1177" t="str">
        <f>IF(Table1[[#This Row],[Income]]&gt;=70000,"HIGH INCOME","LOW INCOME")</f>
        <v>LOW INCOME</v>
      </c>
      <c r="AO1177" s="1" t="str">
        <f>IF(Table1[[#This Row],[MNT_TOTAL]]&gt;=900,"HIGH VALUE","LOW VALUE")</f>
        <v>HIGH VALUE</v>
      </c>
      <c r="AP11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77" s="1"/>
      <c r="AR1177" s="1"/>
    </row>
    <row r="1178" spans="1:44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55</v>
      </c>
      <c r="X1178">
        <v>2460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122</v>
      </c>
      <c r="AJ1178">
        <v>61</v>
      </c>
      <c r="AK1178">
        <v>0</v>
      </c>
      <c r="AL1178">
        <f t="shared" si="18"/>
        <v>183</v>
      </c>
      <c r="AM1178">
        <f>IF(OR(Table1[[#This Row],[marital_Married]]=1,Table1[[#This Row],[marital_Together]]=1),1,0)</f>
        <v>1</v>
      </c>
      <c r="AN1178" t="str">
        <f>IF(Table1[[#This Row],[Income]]&gt;=70000,"HIGH INCOME","LOW INCOME")</f>
        <v>LOW INCOME</v>
      </c>
      <c r="AO1178" s="1" t="str">
        <f>IF(Table1[[#This Row],[MNT_TOTAL]]&gt;=900,"HIGH VALUE","LOW VALUE")</f>
        <v>LOW VALUE</v>
      </c>
      <c r="AP11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78" s="1"/>
      <c r="AR1178" s="1"/>
    </row>
    <row r="1179" spans="1:44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51</v>
      </c>
      <c r="X1179">
        <v>2614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1150</v>
      </c>
      <c r="AJ1179">
        <v>1139</v>
      </c>
      <c r="AK1179">
        <v>1</v>
      </c>
      <c r="AL1179">
        <f t="shared" si="18"/>
        <v>1161</v>
      </c>
      <c r="AM1179">
        <f>IF(OR(Table1[[#This Row],[marital_Married]]=1,Table1[[#This Row],[marital_Together]]=1),1,0)</f>
        <v>1</v>
      </c>
      <c r="AN1179" t="str">
        <f>IF(Table1[[#This Row],[Income]]&gt;=70000,"HIGH INCOME","LOW INCOME")</f>
        <v>HIGH INCOME</v>
      </c>
      <c r="AO1179" s="1" t="str">
        <f>IF(Table1[[#This Row],[MNT_TOTAL]]&gt;=900,"HIGH VALUE","LOW VALUE")</f>
        <v>HIGH VALUE</v>
      </c>
      <c r="AP11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79" s="1"/>
      <c r="AR1179" s="1"/>
    </row>
    <row r="1180" spans="1:44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48</v>
      </c>
      <c r="X1180">
        <v>2244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908</v>
      </c>
      <c r="AJ1180">
        <v>828</v>
      </c>
      <c r="AK1180">
        <v>0</v>
      </c>
      <c r="AL1180">
        <f t="shared" si="18"/>
        <v>988</v>
      </c>
      <c r="AM1180">
        <f>IF(OR(Table1[[#This Row],[marital_Married]]=1,Table1[[#This Row],[marital_Together]]=1),1,0)</f>
        <v>1</v>
      </c>
      <c r="AN1180" t="str">
        <f>IF(Table1[[#This Row],[Income]]&gt;=70000,"HIGH INCOME","LOW INCOME")</f>
        <v>HIGH INCOME</v>
      </c>
      <c r="AO1180" s="1" t="str">
        <f>IF(Table1[[#This Row],[MNT_TOTAL]]&gt;=900,"HIGH VALUE","LOW VALUE")</f>
        <v>HIGH VALUE</v>
      </c>
      <c r="AP11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80" s="1"/>
      <c r="AR1180" s="1"/>
    </row>
    <row r="1181" spans="1:44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59</v>
      </c>
      <c r="X1181">
        <v>2817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1006</v>
      </c>
      <c r="AJ1181">
        <v>940</v>
      </c>
      <c r="AK1181">
        <v>0</v>
      </c>
      <c r="AL1181">
        <f t="shared" si="18"/>
        <v>1072</v>
      </c>
      <c r="AM1181">
        <f>IF(OR(Table1[[#This Row],[marital_Married]]=1,Table1[[#This Row],[marital_Together]]=1),1,0)</f>
        <v>0</v>
      </c>
      <c r="AN1181" t="str">
        <f>IF(Table1[[#This Row],[Income]]&gt;=70000,"HIGH INCOME","LOW INCOME")</f>
        <v>LOW INCOME</v>
      </c>
      <c r="AO1181" s="1" t="str">
        <f>IF(Table1[[#This Row],[MNT_TOTAL]]&gt;=900,"HIGH VALUE","LOW VALUE")</f>
        <v>HIGH VALUE</v>
      </c>
      <c r="AP11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81" s="1"/>
      <c r="AR1181" s="1"/>
    </row>
    <row r="1182" spans="1:44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43</v>
      </c>
      <c r="X1182">
        <v>2450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152</v>
      </c>
      <c r="AJ1182">
        <v>130</v>
      </c>
      <c r="AK1182">
        <v>0</v>
      </c>
      <c r="AL1182">
        <f t="shared" si="18"/>
        <v>174</v>
      </c>
      <c r="AM1182">
        <f>IF(OR(Table1[[#This Row],[marital_Married]]=1,Table1[[#This Row],[marital_Together]]=1),1,0)</f>
        <v>1</v>
      </c>
      <c r="AN1182" t="str">
        <f>IF(Table1[[#This Row],[Income]]&gt;=70000,"HIGH INCOME","LOW INCOME")</f>
        <v>LOW INCOME</v>
      </c>
      <c r="AO1182" s="1" t="str">
        <f>IF(Table1[[#This Row],[MNT_TOTAL]]&gt;=900,"HIGH VALUE","LOW VALUE")</f>
        <v>LOW VALUE</v>
      </c>
      <c r="AP11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82" s="1"/>
      <c r="AR1182" s="1"/>
    </row>
    <row r="1183" spans="1:44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61</v>
      </c>
      <c r="X1183">
        <v>2679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674</v>
      </c>
      <c r="AJ1183">
        <v>590</v>
      </c>
      <c r="AK1183">
        <v>0</v>
      </c>
      <c r="AL1183">
        <f t="shared" si="18"/>
        <v>758</v>
      </c>
      <c r="AM1183">
        <f>IF(OR(Table1[[#This Row],[marital_Married]]=1,Table1[[#This Row],[marital_Together]]=1),1,0)</f>
        <v>1</v>
      </c>
      <c r="AN1183" t="str">
        <f>IF(Table1[[#This Row],[Income]]&gt;=70000,"HIGH INCOME","LOW INCOME")</f>
        <v>LOW INCOME</v>
      </c>
      <c r="AO1183" s="1" t="str">
        <f>IF(Table1[[#This Row],[MNT_TOTAL]]&gt;=900,"HIGH VALUE","LOW VALUE")</f>
        <v>LOW VALUE</v>
      </c>
      <c r="AP11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83" s="1"/>
      <c r="AR1183" s="1"/>
    </row>
    <row r="1184" spans="1:44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62</v>
      </c>
      <c r="X1184">
        <v>2339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181</v>
      </c>
      <c r="AJ1184">
        <v>167</v>
      </c>
      <c r="AK1184">
        <v>0</v>
      </c>
      <c r="AL1184">
        <f t="shared" si="18"/>
        <v>195</v>
      </c>
      <c r="AM1184">
        <f>IF(OR(Table1[[#This Row],[marital_Married]]=1,Table1[[#This Row],[marital_Together]]=1),1,0)</f>
        <v>1</v>
      </c>
      <c r="AN1184" t="str">
        <f>IF(Table1[[#This Row],[Income]]&gt;=70000,"HIGH INCOME","LOW INCOME")</f>
        <v>LOW INCOME</v>
      </c>
      <c r="AO1184" s="1" t="str">
        <f>IF(Table1[[#This Row],[MNT_TOTAL]]&gt;=900,"HIGH VALUE","LOW VALUE")</f>
        <v>LOW VALUE</v>
      </c>
      <c r="AP11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84" s="1"/>
      <c r="AR1184" s="1"/>
    </row>
    <row r="1185" spans="1:44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41</v>
      </c>
      <c r="X1185">
        <v>2786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18</v>
      </c>
      <c r="AJ1185">
        <v>5</v>
      </c>
      <c r="AK1185">
        <v>1</v>
      </c>
      <c r="AL1185">
        <f t="shared" si="18"/>
        <v>31</v>
      </c>
      <c r="AM1185">
        <f>IF(OR(Table1[[#This Row],[marital_Married]]=1,Table1[[#This Row],[marital_Together]]=1),1,0)</f>
        <v>0</v>
      </c>
      <c r="AN1185" t="str">
        <f>IF(Table1[[#This Row],[Income]]&gt;=70000,"HIGH INCOME","LOW INCOME")</f>
        <v>LOW INCOME</v>
      </c>
      <c r="AO1185" s="1" t="str">
        <f>IF(Table1[[#This Row],[MNT_TOTAL]]&gt;=900,"HIGH VALUE","LOW VALUE")</f>
        <v>LOW VALUE</v>
      </c>
      <c r="AP11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85" s="1"/>
      <c r="AR1185" s="1"/>
    </row>
    <row r="1186" spans="1:44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63</v>
      </c>
      <c r="X1186">
        <v>2475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1084</v>
      </c>
      <c r="AJ1186">
        <v>1084</v>
      </c>
      <c r="AK1186">
        <v>0</v>
      </c>
      <c r="AL1186">
        <f t="shared" si="18"/>
        <v>1084</v>
      </c>
      <c r="AM1186">
        <f>IF(OR(Table1[[#This Row],[marital_Married]]=1,Table1[[#This Row],[marital_Together]]=1),1,0)</f>
        <v>1</v>
      </c>
      <c r="AN1186" t="str">
        <f>IF(Table1[[#This Row],[Income]]&gt;=70000,"HIGH INCOME","LOW INCOME")</f>
        <v>LOW INCOME</v>
      </c>
      <c r="AO1186" s="1" t="str">
        <f>IF(Table1[[#This Row],[MNT_TOTAL]]&gt;=900,"HIGH VALUE","LOW VALUE")</f>
        <v>HIGH VALUE</v>
      </c>
      <c r="AP11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86" s="1"/>
      <c r="AR1186" s="1"/>
    </row>
    <row r="1187" spans="1:44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64</v>
      </c>
      <c r="X1187">
        <v>2653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656</v>
      </c>
      <c r="AJ1187">
        <v>627</v>
      </c>
      <c r="AK1187">
        <v>1</v>
      </c>
      <c r="AL1187">
        <f t="shared" si="18"/>
        <v>685</v>
      </c>
      <c r="AM1187">
        <f>IF(OR(Table1[[#This Row],[marital_Married]]=1,Table1[[#This Row],[marital_Together]]=1),1,0)</f>
        <v>1</v>
      </c>
      <c r="AN1187" t="str">
        <f>IF(Table1[[#This Row],[Income]]&gt;=70000,"HIGH INCOME","LOW INCOME")</f>
        <v>LOW INCOME</v>
      </c>
      <c r="AO1187" s="1" t="str">
        <f>IF(Table1[[#This Row],[MNT_TOTAL]]&gt;=900,"HIGH VALUE","LOW VALUE")</f>
        <v>LOW VALUE</v>
      </c>
      <c r="AP11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87" s="1"/>
      <c r="AR1187" s="1"/>
    </row>
    <row r="1188" spans="1:44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55</v>
      </c>
      <c r="X1188">
        <v>2378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1672</v>
      </c>
      <c r="AJ1188">
        <v>1672</v>
      </c>
      <c r="AK1188">
        <v>1</v>
      </c>
      <c r="AL1188">
        <f t="shared" si="18"/>
        <v>1672</v>
      </c>
      <c r="AM1188">
        <f>IF(OR(Table1[[#This Row],[marital_Married]]=1,Table1[[#This Row],[marital_Together]]=1),1,0)</f>
        <v>1</v>
      </c>
      <c r="AN1188" t="str">
        <f>IF(Table1[[#This Row],[Income]]&gt;=70000,"HIGH INCOME","LOW INCOME")</f>
        <v>HIGH INCOME</v>
      </c>
      <c r="AO1188" s="1" t="str">
        <f>IF(Table1[[#This Row],[MNT_TOTAL]]&gt;=900,"HIGH VALUE","LOW VALUE")</f>
        <v>HIGH VALUE</v>
      </c>
      <c r="AP11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88" s="1"/>
      <c r="AR1188" s="1"/>
    </row>
    <row r="1189" spans="1:44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30</v>
      </c>
      <c r="X1189">
        <v>2402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36</v>
      </c>
      <c r="AJ1189">
        <v>29</v>
      </c>
      <c r="AK1189">
        <v>0</v>
      </c>
      <c r="AL1189">
        <f t="shared" si="18"/>
        <v>43</v>
      </c>
      <c r="AM1189">
        <f>IF(OR(Table1[[#This Row],[marital_Married]]=1,Table1[[#This Row],[marital_Together]]=1),1,0)</f>
        <v>1</v>
      </c>
      <c r="AN1189" t="str">
        <f>IF(Table1[[#This Row],[Income]]&gt;=70000,"HIGH INCOME","LOW INCOME")</f>
        <v>LOW INCOME</v>
      </c>
      <c r="AO1189" s="1" t="str">
        <f>IF(Table1[[#This Row],[MNT_TOTAL]]&gt;=900,"HIGH VALUE","LOW VALUE")</f>
        <v>LOW VALUE</v>
      </c>
      <c r="AP11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89" s="1"/>
      <c r="AR1189" s="1"/>
    </row>
    <row r="1190" spans="1:44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63</v>
      </c>
      <c r="X1190">
        <v>2292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39</v>
      </c>
      <c r="AJ1190">
        <v>29</v>
      </c>
      <c r="AK1190">
        <v>1</v>
      </c>
      <c r="AL1190">
        <f t="shared" si="18"/>
        <v>49</v>
      </c>
      <c r="AM1190">
        <f>IF(OR(Table1[[#This Row],[marital_Married]]=1,Table1[[#This Row],[marital_Together]]=1),1,0)</f>
        <v>1</v>
      </c>
      <c r="AN1190" t="str">
        <f>IF(Table1[[#This Row],[Income]]&gt;=70000,"HIGH INCOME","LOW INCOME")</f>
        <v>LOW INCOME</v>
      </c>
      <c r="AO1190" s="1" t="str">
        <f>IF(Table1[[#This Row],[MNT_TOTAL]]&gt;=900,"HIGH VALUE","LOW VALUE")</f>
        <v>LOW VALUE</v>
      </c>
      <c r="AP11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0" s="1"/>
      <c r="AR1190" s="1"/>
    </row>
    <row r="1191" spans="1:44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55</v>
      </c>
      <c r="X1191">
        <v>2562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120</v>
      </c>
      <c r="AJ1191">
        <v>107</v>
      </c>
      <c r="AK1191">
        <v>0</v>
      </c>
      <c r="AL1191">
        <f t="shared" si="18"/>
        <v>133</v>
      </c>
      <c r="AM1191">
        <f>IF(OR(Table1[[#This Row],[marital_Married]]=1,Table1[[#This Row],[marital_Together]]=1),1,0)</f>
        <v>1</v>
      </c>
      <c r="AN1191" t="str">
        <f>IF(Table1[[#This Row],[Income]]&gt;=70000,"HIGH INCOME","LOW INCOME")</f>
        <v>LOW INCOME</v>
      </c>
      <c r="AO1191" s="1" t="str">
        <f>IF(Table1[[#This Row],[MNT_TOTAL]]&gt;=900,"HIGH VALUE","LOW VALUE")</f>
        <v>LOW VALUE</v>
      </c>
      <c r="AP11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1" s="1"/>
      <c r="AR1191" s="1"/>
    </row>
    <row r="1192" spans="1:44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63</v>
      </c>
      <c r="X1192">
        <v>2419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343</v>
      </c>
      <c r="AJ1192">
        <v>323</v>
      </c>
      <c r="AK1192">
        <v>1</v>
      </c>
      <c r="AL1192">
        <f t="shared" si="18"/>
        <v>363</v>
      </c>
      <c r="AM1192">
        <f>IF(OR(Table1[[#This Row],[marital_Married]]=1,Table1[[#This Row],[marital_Together]]=1),1,0)</f>
        <v>1</v>
      </c>
      <c r="AN1192" t="str">
        <f>IF(Table1[[#This Row],[Income]]&gt;=70000,"HIGH INCOME","LOW INCOME")</f>
        <v>LOW INCOME</v>
      </c>
      <c r="AO1192" s="1" t="str">
        <f>IF(Table1[[#This Row],[MNT_TOTAL]]&gt;=900,"HIGH VALUE","LOW VALUE")</f>
        <v>LOW VALUE</v>
      </c>
      <c r="AP11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2" s="1"/>
      <c r="AR1192" s="1"/>
    </row>
    <row r="1193" spans="1:44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65</v>
      </c>
      <c r="X1193">
        <v>2599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511</v>
      </c>
      <c r="AJ1193">
        <v>477</v>
      </c>
      <c r="AK1193">
        <v>0</v>
      </c>
      <c r="AL1193">
        <f t="shared" si="18"/>
        <v>545</v>
      </c>
      <c r="AM1193">
        <f>IF(OR(Table1[[#This Row],[marital_Married]]=1,Table1[[#This Row],[marital_Together]]=1),1,0)</f>
        <v>1</v>
      </c>
      <c r="AN1193" t="str">
        <f>IF(Table1[[#This Row],[Income]]&gt;=70000,"HIGH INCOME","LOW INCOME")</f>
        <v>LOW INCOME</v>
      </c>
      <c r="AO1193" s="1" t="str">
        <f>IF(Table1[[#This Row],[MNT_TOTAL]]&gt;=900,"HIGH VALUE","LOW VALUE")</f>
        <v>LOW VALUE</v>
      </c>
      <c r="AP11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3" s="1"/>
      <c r="AR1193" s="1"/>
    </row>
    <row r="1194" spans="1:44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48</v>
      </c>
      <c r="X1194">
        <v>2404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989</v>
      </c>
      <c r="AJ1194">
        <v>913</v>
      </c>
      <c r="AK1194">
        <v>1</v>
      </c>
      <c r="AL1194">
        <f t="shared" si="18"/>
        <v>1065</v>
      </c>
      <c r="AM1194">
        <f>IF(OR(Table1[[#This Row],[marital_Married]]=1,Table1[[#This Row],[marital_Together]]=1),1,0)</f>
        <v>1</v>
      </c>
      <c r="AN1194" t="str">
        <f>IF(Table1[[#This Row],[Income]]&gt;=70000,"HIGH INCOME","LOW INCOME")</f>
        <v>HIGH INCOME</v>
      </c>
      <c r="AO1194" s="1" t="str">
        <f>IF(Table1[[#This Row],[MNT_TOTAL]]&gt;=900,"HIGH VALUE","LOW VALUE")</f>
        <v>HIGH VALUE</v>
      </c>
      <c r="AP11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94" s="1"/>
      <c r="AR1194" s="1"/>
    </row>
    <row r="1195" spans="1:44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51</v>
      </c>
      <c r="X1195">
        <v>2633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1988</v>
      </c>
      <c r="AJ1195">
        <v>1929</v>
      </c>
      <c r="AK1195">
        <v>1</v>
      </c>
      <c r="AL1195">
        <f t="shared" si="18"/>
        <v>2047</v>
      </c>
      <c r="AM1195">
        <f>IF(OR(Table1[[#This Row],[marital_Married]]=1,Table1[[#This Row],[marital_Together]]=1),1,0)</f>
        <v>1</v>
      </c>
      <c r="AN1195" t="str">
        <f>IF(Table1[[#This Row],[Income]]&gt;=70000,"HIGH INCOME","LOW INCOME")</f>
        <v>HIGH INCOME</v>
      </c>
      <c r="AO1195" s="1" t="str">
        <f>IF(Table1[[#This Row],[MNT_TOTAL]]&gt;=900,"HIGH VALUE","LOW VALUE")</f>
        <v>HIGH VALUE</v>
      </c>
      <c r="AP11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195" s="1"/>
      <c r="AR1195" s="1"/>
    </row>
    <row r="1196" spans="1:44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48</v>
      </c>
      <c r="X1196">
        <v>2765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221</v>
      </c>
      <c r="AJ1196">
        <v>146</v>
      </c>
      <c r="AK1196">
        <v>0</v>
      </c>
      <c r="AL1196">
        <f t="shared" si="18"/>
        <v>296</v>
      </c>
      <c r="AM1196">
        <f>IF(OR(Table1[[#This Row],[marital_Married]]=1,Table1[[#This Row],[marital_Together]]=1),1,0)</f>
        <v>1</v>
      </c>
      <c r="AN1196" t="str">
        <f>IF(Table1[[#This Row],[Income]]&gt;=70000,"HIGH INCOME","LOW INCOME")</f>
        <v>LOW INCOME</v>
      </c>
      <c r="AO1196" s="1" t="str">
        <f>IF(Table1[[#This Row],[MNT_TOTAL]]&gt;=900,"HIGH VALUE","LOW VALUE")</f>
        <v>LOW VALUE</v>
      </c>
      <c r="AP11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6" s="1"/>
      <c r="AR1196" s="1"/>
    </row>
    <row r="1197" spans="1:44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45</v>
      </c>
      <c r="X1197">
        <v>2525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120</v>
      </c>
      <c r="AJ1197">
        <v>100</v>
      </c>
      <c r="AK1197">
        <v>0</v>
      </c>
      <c r="AL1197">
        <f t="shared" si="18"/>
        <v>140</v>
      </c>
      <c r="AM1197">
        <f>IF(OR(Table1[[#This Row],[marital_Married]]=1,Table1[[#This Row],[marital_Together]]=1),1,0)</f>
        <v>0</v>
      </c>
      <c r="AN1197" t="str">
        <f>IF(Table1[[#This Row],[Income]]&gt;=70000,"HIGH INCOME","LOW INCOME")</f>
        <v>LOW INCOME</v>
      </c>
      <c r="AO1197" s="1" t="str">
        <f>IF(Table1[[#This Row],[MNT_TOTAL]]&gt;=900,"HIGH VALUE","LOW VALUE")</f>
        <v>LOW VALUE</v>
      </c>
      <c r="AP11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97" s="1"/>
      <c r="AR1197" s="1"/>
    </row>
    <row r="1198" spans="1:44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55</v>
      </c>
      <c r="X1198">
        <v>2506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496</v>
      </c>
      <c r="AJ1198">
        <v>462</v>
      </c>
      <c r="AK1198">
        <v>0</v>
      </c>
      <c r="AL1198">
        <f t="shared" si="18"/>
        <v>530</v>
      </c>
      <c r="AM1198">
        <f>IF(OR(Table1[[#This Row],[marital_Married]]=1,Table1[[#This Row],[marital_Together]]=1),1,0)</f>
        <v>0</v>
      </c>
      <c r="AN1198" t="str">
        <f>IF(Table1[[#This Row],[Income]]&gt;=70000,"HIGH INCOME","LOW INCOME")</f>
        <v>LOW INCOME</v>
      </c>
      <c r="AO1198" s="1" t="str">
        <f>IF(Table1[[#This Row],[MNT_TOTAL]]&gt;=900,"HIGH VALUE","LOW VALUE")</f>
        <v>LOW VALUE</v>
      </c>
      <c r="AP11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198" s="1"/>
      <c r="AR1198" s="1"/>
    </row>
    <row r="1199" spans="1:44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57</v>
      </c>
      <c r="X1199">
        <v>2849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148</v>
      </c>
      <c r="AJ1199">
        <v>144</v>
      </c>
      <c r="AK1199">
        <v>0</v>
      </c>
      <c r="AL1199">
        <f t="shared" si="18"/>
        <v>152</v>
      </c>
      <c r="AM1199">
        <f>IF(OR(Table1[[#This Row],[marital_Married]]=1,Table1[[#This Row],[marital_Together]]=1),1,0)</f>
        <v>1</v>
      </c>
      <c r="AN1199" t="str">
        <f>IF(Table1[[#This Row],[Income]]&gt;=70000,"HIGH INCOME","LOW INCOME")</f>
        <v>LOW INCOME</v>
      </c>
      <c r="AO1199" s="1" t="str">
        <f>IF(Table1[[#This Row],[MNT_TOTAL]]&gt;=900,"HIGH VALUE","LOW VALUE")</f>
        <v>LOW VALUE</v>
      </c>
      <c r="AP11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199" s="1"/>
      <c r="AR1199" s="1"/>
    </row>
    <row r="1200" spans="1:44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29</v>
      </c>
      <c r="X1200">
        <v>2425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1553</v>
      </c>
      <c r="AJ1200">
        <v>1508</v>
      </c>
      <c r="AK1200">
        <v>0</v>
      </c>
      <c r="AL1200">
        <f t="shared" si="18"/>
        <v>1598</v>
      </c>
      <c r="AM1200">
        <f>IF(OR(Table1[[#This Row],[marital_Married]]=1,Table1[[#This Row],[marital_Together]]=1),1,0)</f>
        <v>1</v>
      </c>
      <c r="AN1200" t="str">
        <f>IF(Table1[[#This Row],[Income]]&gt;=70000,"HIGH INCOME","LOW INCOME")</f>
        <v>LOW INCOME</v>
      </c>
      <c r="AO1200" s="1" t="str">
        <f>IF(Table1[[#This Row],[MNT_TOTAL]]&gt;=900,"HIGH VALUE","LOW VALUE")</f>
        <v>HIGH VALUE</v>
      </c>
      <c r="AP12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0" s="1"/>
      <c r="AR1200" s="1"/>
    </row>
    <row r="1201" spans="1:44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57</v>
      </c>
      <c r="X1201">
        <v>2685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88</v>
      </c>
      <c r="AJ1201">
        <v>62</v>
      </c>
      <c r="AK1201">
        <v>0</v>
      </c>
      <c r="AL1201">
        <f t="shared" si="18"/>
        <v>114</v>
      </c>
      <c r="AM1201">
        <f>IF(OR(Table1[[#This Row],[marital_Married]]=1,Table1[[#This Row],[marital_Together]]=1),1,0)</f>
        <v>0</v>
      </c>
      <c r="AN1201" t="str">
        <f>IF(Table1[[#This Row],[Income]]&gt;=70000,"HIGH INCOME","LOW INCOME")</f>
        <v>LOW INCOME</v>
      </c>
      <c r="AO1201" s="1" t="str">
        <f>IF(Table1[[#This Row],[MNT_TOTAL]]&gt;=900,"HIGH VALUE","LOW VALUE")</f>
        <v>LOW VALUE</v>
      </c>
      <c r="AP12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1" s="1"/>
      <c r="AR1201" s="1"/>
    </row>
    <row r="1202" spans="1:44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34</v>
      </c>
      <c r="X1202">
        <v>2835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59</v>
      </c>
      <c r="AJ1202">
        <v>17</v>
      </c>
      <c r="AK1202">
        <v>0</v>
      </c>
      <c r="AL1202">
        <f t="shared" si="18"/>
        <v>101</v>
      </c>
      <c r="AM1202">
        <f>IF(OR(Table1[[#This Row],[marital_Married]]=1,Table1[[#This Row],[marital_Together]]=1),1,0)</f>
        <v>0</v>
      </c>
      <c r="AN1202" t="str">
        <f>IF(Table1[[#This Row],[Income]]&gt;=70000,"HIGH INCOME","LOW INCOME")</f>
        <v>LOW INCOME</v>
      </c>
      <c r="AO1202" s="1" t="str">
        <f>IF(Table1[[#This Row],[MNT_TOTAL]]&gt;=900,"HIGH VALUE","LOW VALUE")</f>
        <v>LOW VALUE</v>
      </c>
      <c r="AP12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2" s="1"/>
      <c r="AR1202" s="1"/>
    </row>
    <row r="1203" spans="1:44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47</v>
      </c>
      <c r="X1203">
        <v>2439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16</v>
      </c>
      <c r="AJ1203">
        <v>7</v>
      </c>
      <c r="AK1203">
        <v>0</v>
      </c>
      <c r="AL1203">
        <f t="shared" si="18"/>
        <v>25</v>
      </c>
      <c r="AM1203">
        <f>IF(OR(Table1[[#This Row],[marital_Married]]=1,Table1[[#This Row],[marital_Together]]=1),1,0)</f>
        <v>1</v>
      </c>
      <c r="AN1203" t="str">
        <f>IF(Table1[[#This Row],[Income]]&gt;=70000,"HIGH INCOME","LOW INCOME")</f>
        <v>LOW INCOME</v>
      </c>
      <c r="AO1203" s="1" t="str">
        <f>IF(Table1[[#This Row],[MNT_TOTAL]]&gt;=900,"HIGH VALUE","LOW VALUE")</f>
        <v>LOW VALUE</v>
      </c>
      <c r="AP12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03" s="1"/>
      <c r="AR1203" s="1"/>
    </row>
    <row r="1204" spans="1:44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63</v>
      </c>
      <c r="X1204">
        <v>2678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748</v>
      </c>
      <c r="AJ1204">
        <v>707</v>
      </c>
      <c r="AK1204">
        <v>1</v>
      </c>
      <c r="AL1204">
        <f t="shared" si="18"/>
        <v>789</v>
      </c>
      <c r="AM1204">
        <f>IF(OR(Table1[[#This Row],[marital_Married]]=1,Table1[[#This Row],[marital_Together]]=1),1,0)</f>
        <v>0</v>
      </c>
      <c r="AN1204" t="str">
        <f>IF(Table1[[#This Row],[Income]]&gt;=70000,"HIGH INCOME","LOW INCOME")</f>
        <v>HIGH INCOME</v>
      </c>
      <c r="AO1204" s="1" t="str">
        <f>IF(Table1[[#This Row],[MNT_TOTAL]]&gt;=900,"HIGH VALUE","LOW VALUE")</f>
        <v>LOW VALUE</v>
      </c>
      <c r="AP12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4" s="1"/>
      <c r="AR1204" s="1"/>
    </row>
    <row r="1205" spans="1:44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39</v>
      </c>
      <c r="X1205">
        <v>2493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62</v>
      </c>
      <c r="AJ1205">
        <v>37</v>
      </c>
      <c r="AK1205">
        <v>1</v>
      </c>
      <c r="AL1205">
        <f t="shared" si="18"/>
        <v>87</v>
      </c>
      <c r="AM1205">
        <f>IF(OR(Table1[[#This Row],[marital_Married]]=1,Table1[[#This Row],[marital_Together]]=1),1,0)</f>
        <v>1</v>
      </c>
      <c r="AN1205" t="str">
        <f>IF(Table1[[#This Row],[Income]]&gt;=70000,"HIGH INCOME","LOW INCOME")</f>
        <v>LOW INCOME</v>
      </c>
      <c r="AO1205" s="1" t="str">
        <f>IF(Table1[[#This Row],[MNT_TOTAL]]&gt;=900,"HIGH VALUE","LOW VALUE")</f>
        <v>LOW VALUE</v>
      </c>
      <c r="AP12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05" s="1"/>
      <c r="AR1205" s="1"/>
    </row>
    <row r="1206" spans="1:44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62</v>
      </c>
      <c r="X1206">
        <v>2439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84</v>
      </c>
      <c r="AJ1206">
        <v>78</v>
      </c>
      <c r="AK1206">
        <v>0</v>
      </c>
      <c r="AL1206">
        <f t="shared" si="18"/>
        <v>90</v>
      </c>
      <c r="AM1206">
        <f>IF(OR(Table1[[#This Row],[marital_Married]]=1,Table1[[#This Row],[marital_Together]]=1),1,0)</f>
        <v>0</v>
      </c>
      <c r="AN1206" t="str">
        <f>IF(Table1[[#This Row],[Income]]&gt;=70000,"HIGH INCOME","LOW INCOME")</f>
        <v>LOW INCOME</v>
      </c>
      <c r="AO1206" s="1" t="str">
        <f>IF(Table1[[#This Row],[MNT_TOTAL]]&gt;=900,"HIGH VALUE","LOW VALUE")</f>
        <v>LOW VALUE</v>
      </c>
      <c r="AP12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6" s="1"/>
      <c r="AR1206" s="1"/>
    </row>
    <row r="1207" spans="1:44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61</v>
      </c>
      <c r="X1207">
        <v>2586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1203</v>
      </c>
      <c r="AJ1207">
        <v>1191</v>
      </c>
      <c r="AK1207">
        <v>0</v>
      </c>
      <c r="AL1207">
        <f t="shared" si="18"/>
        <v>1215</v>
      </c>
      <c r="AM1207">
        <f>IF(OR(Table1[[#This Row],[marital_Married]]=1,Table1[[#This Row],[marital_Together]]=1),1,0)</f>
        <v>1</v>
      </c>
      <c r="AN1207" t="str">
        <f>IF(Table1[[#This Row],[Income]]&gt;=70000,"HIGH INCOME","LOW INCOME")</f>
        <v>HIGH INCOME</v>
      </c>
      <c r="AO1207" s="1" t="str">
        <f>IF(Table1[[#This Row],[MNT_TOTAL]]&gt;=900,"HIGH VALUE","LOW VALUE")</f>
        <v>HIGH VALUE</v>
      </c>
      <c r="AP12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07" s="1"/>
      <c r="AR1207" s="1"/>
    </row>
    <row r="1208" spans="1:44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65</v>
      </c>
      <c r="X1208">
        <v>2419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766</v>
      </c>
      <c r="AJ1208">
        <v>721</v>
      </c>
      <c r="AK1208">
        <v>1</v>
      </c>
      <c r="AL1208">
        <f t="shared" si="18"/>
        <v>811</v>
      </c>
      <c r="AM1208">
        <f>IF(OR(Table1[[#This Row],[marital_Married]]=1,Table1[[#This Row],[marital_Together]]=1),1,0)</f>
        <v>0</v>
      </c>
      <c r="AN1208" t="str">
        <f>IF(Table1[[#This Row],[Income]]&gt;=70000,"HIGH INCOME","LOW INCOME")</f>
        <v>LOW INCOME</v>
      </c>
      <c r="AO1208" s="1" t="str">
        <f>IF(Table1[[#This Row],[MNT_TOTAL]]&gt;=900,"HIGH VALUE","LOW VALUE")</f>
        <v>LOW VALUE</v>
      </c>
      <c r="AP12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08" s="1"/>
      <c r="AR1208" s="1"/>
    </row>
    <row r="1209" spans="1:44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34</v>
      </c>
      <c r="X1209">
        <v>2774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34</v>
      </c>
      <c r="AJ1209">
        <v>7</v>
      </c>
      <c r="AK1209">
        <v>1</v>
      </c>
      <c r="AL1209">
        <f t="shared" si="18"/>
        <v>61</v>
      </c>
      <c r="AM1209">
        <f>IF(OR(Table1[[#This Row],[marital_Married]]=1,Table1[[#This Row],[marital_Together]]=1),1,0)</f>
        <v>1</v>
      </c>
      <c r="AN1209" t="str">
        <f>IF(Table1[[#This Row],[Income]]&gt;=70000,"HIGH INCOME","LOW INCOME")</f>
        <v>LOW INCOME</v>
      </c>
      <c r="AO1209" s="1" t="str">
        <f>IF(Table1[[#This Row],[MNT_TOTAL]]&gt;=900,"HIGH VALUE","LOW VALUE")</f>
        <v>LOW VALUE</v>
      </c>
      <c r="AP12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09" s="1"/>
      <c r="AR1209" s="1"/>
    </row>
    <row r="1210" spans="1:44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45</v>
      </c>
      <c r="X1210">
        <v>2477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349</v>
      </c>
      <c r="AJ1210">
        <v>293</v>
      </c>
      <c r="AK1210">
        <v>0</v>
      </c>
      <c r="AL1210">
        <f t="shared" si="18"/>
        <v>405</v>
      </c>
      <c r="AM1210">
        <f>IF(OR(Table1[[#This Row],[marital_Married]]=1,Table1[[#This Row],[marital_Together]]=1),1,0)</f>
        <v>1</v>
      </c>
      <c r="AN1210" t="str">
        <f>IF(Table1[[#This Row],[Income]]&gt;=70000,"HIGH INCOME","LOW INCOME")</f>
        <v>LOW INCOME</v>
      </c>
      <c r="AO1210" s="1" t="str">
        <f>IF(Table1[[#This Row],[MNT_TOTAL]]&gt;=900,"HIGH VALUE","LOW VALUE")</f>
        <v>LOW VALUE</v>
      </c>
      <c r="AP12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0" s="1"/>
      <c r="AR1210" s="1"/>
    </row>
    <row r="1211" spans="1:44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65</v>
      </c>
      <c r="X1211">
        <v>2250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70</v>
      </c>
      <c r="AJ1211">
        <v>68</v>
      </c>
      <c r="AK1211">
        <v>0</v>
      </c>
      <c r="AL1211">
        <f t="shared" si="18"/>
        <v>72</v>
      </c>
      <c r="AM1211">
        <f>IF(OR(Table1[[#This Row],[marital_Married]]=1,Table1[[#This Row],[marital_Together]]=1),1,0)</f>
        <v>1</v>
      </c>
      <c r="AN1211" t="str">
        <f>IF(Table1[[#This Row],[Income]]&gt;=70000,"HIGH INCOME","LOW INCOME")</f>
        <v>LOW INCOME</v>
      </c>
      <c r="AO1211" s="1" t="str">
        <f>IF(Table1[[#This Row],[MNT_TOTAL]]&gt;=900,"HIGH VALUE","LOW VALUE")</f>
        <v>LOW VALUE</v>
      </c>
      <c r="AP12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1" s="1"/>
      <c r="AR1211" s="1"/>
    </row>
    <row r="1212" spans="1:44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49</v>
      </c>
      <c r="X1212">
        <v>2658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182</v>
      </c>
      <c r="AJ1212">
        <v>175</v>
      </c>
      <c r="AK1212">
        <v>0</v>
      </c>
      <c r="AL1212">
        <f t="shared" si="18"/>
        <v>189</v>
      </c>
      <c r="AM1212">
        <f>IF(OR(Table1[[#This Row],[marital_Married]]=1,Table1[[#This Row],[marital_Together]]=1),1,0)</f>
        <v>0</v>
      </c>
      <c r="AN1212" t="str">
        <f>IF(Table1[[#This Row],[Income]]&gt;=70000,"HIGH INCOME","LOW INCOME")</f>
        <v>LOW INCOME</v>
      </c>
      <c r="AO1212" s="1" t="str">
        <f>IF(Table1[[#This Row],[MNT_TOTAL]]&gt;=900,"HIGH VALUE","LOW VALUE")</f>
        <v>LOW VALUE</v>
      </c>
      <c r="AP12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12" s="1"/>
      <c r="AR1212" s="1"/>
    </row>
    <row r="1213" spans="1:44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34</v>
      </c>
      <c r="X1213">
        <v>2524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37</v>
      </c>
      <c r="AJ1213">
        <v>34</v>
      </c>
      <c r="AK1213">
        <v>0</v>
      </c>
      <c r="AL1213">
        <f t="shared" si="18"/>
        <v>40</v>
      </c>
      <c r="AM1213">
        <f>IF(OR(Table1[[#This Row],[marital_Married]]=1,Table1[[#This Row],[marital_Together]]=1),1,0)</f>
        <v>1</v>
      </c>
      <c r="AN1213" t="str">
        <f>IF(Table1[[#This Row],[Income]]&gt;=70000,"HIGH INCOME","LOW INCOME")</f>
        <v>LOW INCOME</v>
      </c>
      <c r="AO1213" s="1" t="str">
        <f>IF(Table1[[#This Row],[MNT_TOTAL]]&gt;=900,"HIGH VALUE","LOW VALUE")</f>
        <v>LOW VALUE</v>
      </c>
      <c r="AP12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3" s="1"/>
      <c r="AR1213" s="1"/>
    </row>
    <row r="1214" spans="1:44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42</v>
      </c>
      <c r="X1214">
        <v>2299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51</v>
      </c>
      <c r="AJ1214">
        <v>39</v>
      </c>
      <c r="AK1214">
        <v>0</v>
      </c>
      <c r="AL1214">
        <f t="shared" si="18"/>
        <v>63</v>
      </c>
      <c r="AM1214">
        <f>IF(OR(Table1[[#This Row],[marital_Married]]=1,Table1[[#This Row],[marital_Together]]=1),1,0)</f>
        <v>0</v>
      </c>
      <c r="AN1214" t="str">
        <f>IF(Table1[[#This Row],[Income]]&gt;=70000,"HIGH INCOME","LOW INCOME")</f>
        <v>LOW INCOME</v>
      </c>
      <c r="AO1214" s="1" t="str">
        <f>IF(Table1[[#This Row],[MNT_TOTAL]]&gt;=900,"HIGH VALUE","LOW VALUE")</f>
        <v>LOW VALUE</v>
      </c>
      <c r="AP12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14" s="1"/>
      <c r="AR1214" s="1"/>
    </row>
    <row r="1215" spans="1:44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37</v>
      </c>
      <c r="X1215">
        <v>2624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46</v>
      </c>
      <c r="AJ1215">
        <v>40</v>
      </c>
      <c r="AK1215">
        <v>0</v>
      </c>
      <c r="AL1215">
        <f t="shared" si="18"/>
        <v>52</v>
      </c>
      <c r="AM1215">
        <f>IF(OR(Table1[[#This Row],[marital_Married]]=1,Table1[[#This Row],[marital_Together]]=1),1,0)</f>
        <v>1</v>
      </c>
      <c r="AN1215" t="str">
        <f>IF(Table1[[#This Row],[Income]]&gt;=70000,"HIGH INCOME","LOW INCOME")</f>
        <v>LOW INCOME</v>
      </c>
      <c r="AO1215" s="1" t="str">
        <f>IF(Table1[[#This Row],[MNT_TOTAL]]&gt;=900,"HIGH VALUE","LOW VALUE")</f>
        <v>LOW VALUE</v>
      </c>
      <c r="AP12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5" s="1"/>
      <c r="AR1215" s="1"/>
    </row>
    <row r="1216" spans="1:44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44</v>
      </c>
      <c r="X1216">
        <v>2217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28</v>
      </c>
      <c r="AJ1216">
        <v>17</v>
      </c>
      <c r="AK1216">
        <v>0</v>
      </c>
      <c r="AL1216">
        <f t="shared" si="18"/>
        <v>39</v>
      </c>
      <c r="AM1216">
        <f>IF(OR(Table1[[#This Row],[marital_Married]]=1,Table1[[#This Row],[marital_Together]]=1),1,0)</f>
        <v>1</v>
      </c>
      <c r="AN1216" t="str">
        <f>IF(Table1[[#This Row],[Income]]&gt;=70000,"HIGH INCOME","LOW INCOME")</f>
        <v>LOW INCOME</v>
      </c>
      <c r="AO1216" s="1" t="str">
        <f>IF(Table1[[#This Row],[MNT_TOTAL]]&gt;=900,"HIGH VALUE","LOW VALUE")</f>
        <v>LOW VALUE</v>
      </c>
      <c r="AP12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6" s="1"/>
      <c r="AR1216" s="1"/>
    </row>
    <row r="1217" spans="1:44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49</v>
      </c>
      <c r="X1217">
        <v>2193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790</v>
      </c>
      <c r="AJ1217">
        <v>775</v>
      </c>
      <c r="AK1217">
        <v>0</v>
      </c>
      <c r="AL1217">
        <f t="shared" si="18"/>
        <v>805</v>
      </c>
      <c r="AM1217">
        <f>IF(OR(Table1[[#This Row],[marital_Married]]=1,Table1[[#This Row],[marital_Together]]=1),1,0)</f>
        <v>1</v>
      </c>
      <c r="AN1217" t="str">
        <f>IF(Table1[[#This Row],[Income]]&gt;=70000,"HIGH INCOME","LOW INCOME")</f>
        <v>LOW INCOME</v>
      </c>
      <c r="AO1217" s="1" t="str">
        <f>IF(Table1[[#This Row],[MNT_TOTAL]]&gt;=900,"HIGH VALUE","LOW VALUE")</f>
        <v>LOW VALUE</v>
      </c>
      <c r="AP12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7" s="1"/>
      <c r="AR1217" s="1"/>
    </row>
    <row r="1218" spans="1:44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64</v>
      </c>
      <c r="X1218">
        <v>2232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119</v>
      </c>
      <c r="AJ1218">
        <v>108</v>
      </c>
      <c r="AK1218">
        <v>0</v>
      </c>
      <c r="AL1218">
        <f t="shared" ref="AL1218:AL1281" si="19">SUM(E1218:J1218)</f>
        <v>130</v>
      </c>
      <c r="AM1218">
        <f>IF(OR(Table1[[#This Row],[marital_Married]]=1,Table1[[#This Row],[marital_Together]]=1),1,0)</f>
        <v>1</v>
      </c>
      <c r="AN1218" t="str">
        <f>IF(Table1[[#This Row],[Income]]&gt;=70000,"HIGH INCOME","LOW INCOME")</f>
        <v>LOW INCOME</v>
      </c>
      <c r="AO1218" s="1" t="str">
        <f>IF(Table1[[#This Row],[MNT_TOTAL]]&gt;=900,"HIGH VALUE","LOW VALUE")</f>
        <v>LOW VALUE</v>
      </c>
      <c r="AP12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18" s="1"/>
      <c r="AR1218" s="1"/>
    </row>
    <row r="1219" spans="1:44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48</v>
      </c>
      <c r="X1219">
        <v>2427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1555</v>
      </c>
      <c r="AJ1219">
        <v>1479</v>
      </c>
      <c r="AK1219">
        <v>3</v>
      </c>
      <c r="AL1219">
        <f t="shared" si="19"/>
        <v>1631</v>
      </c>
      <c r="AM1219">
        <f>IF(OR(Table1[[#This Row],[marital_Married]]=1,Table1[[#This Row],[marital_Together]]=1),1,0)</f>
        <v>1</v>
      </c>
      <c r="AN1219" t="str">
        <f>IF(Table1[[#This Row],[Income]]&gt;=70000,"HIGH INCOME","LOW INCOME")</f>
        <v>HIGH INCOME</v>
      </c>
      <c r="AO1219" s="1" t="str">
        <f>IF(Table1[[#This Row],[MNT_TOTAL]]&gt;=900,"HIGH VALUE","LOW VALUE")</f>
        <v>HIGH VALUE</v>
      </c>
      <c r="AP12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19" s="1"/>
      <c r="AR1219" s="1"/>
    </row>
    <row r="1220" spans="1:44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31</v>
      </c>
      <c r="X1220">
        <v>2519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30</v>
      </c>
      <c r="AJ1220">
        <v>26</v>
      </c>
      <c r="AK1220">
        <v>0</v>
      </c>
      <c r="AL1220">
        <f t="shared" si="19"/>
        <v>34</v>
      </c>
      <c r="AM1220">
        <f>IF(OR(Table1[[#This Row],[marital_Married]]=1,Table1[[#This Row],[marital_Together]]=1),1,0)</f>
        <v>1</v>
      </c>
      <c r="AN1220" t="str">
        <f>IF(Table1[[#This Row],[Income]]&gt;=70000,"HIGH INCOME","LOW INCOME")</f>
        <v>LOW INCOME</v>
      </c>
      <c r="AO1220" s="1" t="str">
        <f>IF(Table1[[#This Row],[MNT_TOTAL]]&gt;=900,"HIGH VALUE","LOW VALUE")</f>
        <v>LOW VALUE</v>
      </c>
      <c r="AP12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0" s="1"/>
      <c r="AR1220" s="1"/>
    </row>
    <row r="1221" spans="1:44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68</v>
      </c>
      <c r="X1221">
        <v>2371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145</v>
      </c>
      <c r="AJ1221">
        <v>138</v>
      </c>
      <c r="AK1221">
        <v>0</v>
      </c>
      <c r="AL1221">
        <f t="shared" si="19"/>
        <v>152</v>
      </c>
      <c r="AM1221">
        <f>IF(OR(Table1[[#This Row],[marital_Married]]=1,Table1[[#This Row],[marital_Together]]=1),1,0)</f>
        <v>0</v>
      </c>
      <c r="AN1221" t="str">
        <f>IF(Table1[[#This Row],[Income]]&gt;=70000,"HIGH INCOME","LOW INCOME")</f>
        <v>LOW INCOME</v>
      </c>
      <c r="AO1221" s="1" t="str">
        <f>IF(Table1[[#This Row],[MNT_TOTAL]]&gt;=900,"HIGH VALUE","LOW VALUE")</f>
        <v>LOW VALUE</v>
      </c>
      <c r="AP12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21" s="1"/>
      <c r="AR1221" s="1"/>
    </row>
    <row r="1222" spans="1:44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36</v>
      </c>
      <c r="X1222">
        <v>2321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18</v>
      </c>
      <c r="AJ1222">
        <v>15</v>
      </c>
      <c r="AK1222">
        <v>0</v>
      </c>
      <c r="AL1222">
        <f t="shared" si="19"/>
        <v>21</v>
      </c>
      <c r="AM1222">
        <f>IF(OR(Table1[[#This Row],[marital_Married]]=1,Table1[[#This Row],[marital_Together]]=1),1,0)</f>
        <v>0</v>
      </c>
      <c r="AN1222" t="str">
        <f>IF(Table1[[#This Row],[Income]]&gt;=70000,"HIGH INCOME","LOW INCOME")</f>
        <v>LOW INCOME</v>
      </c>
      <c r="AO1222" s="1" t="str">
        <f>IF(Table1[[#This Row],[MNT_TOTAL]]&gt;=900,"HIGH VALUE","LOW VALUE")</f>
        <v>LOW VALUE</v>
      </c>
      <c r="AP12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22" s="1"/>
      <c r="AR1222" s="1"/>
    </row>
    <row r="1223" spans="1:44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53</v>
      </c>
      <c r="X1223">
        <v>2428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62</v>
      </c>
      <c r="AJ1223">
        <v>53</v>
      </c>
      <c r="AK1223">
        <v>0</v>
      </c>
      <c r="AL1223">
        <f t="shared" si="19"/>
        <v>71</v>
      </c>
      <c r="AM1223">
        <f>IF(OR(Table1[[#This Row],[marital_Married]]=1,Table1[[#This Row],[marital_Together]]=1),1,0)</f>
        <v>1</v>
      </c>
      <c r="AN1223" t="str">
        <f>IF(Table1[[#This Row],[Income]]&gt;=70000,"HIGH INCOME","LOW INCOME")</f>
        <v>LOW INCOME</v>
      </c>
      <c r="AO1223" s="1" t="str">
        <f>IF(Table1[[#This Row],[MNT_TOTAL]]&gt;=900,"HIGH VALUE","LOW VALUE")</f>
        <v>LOW VALUE</v>
      </c>
      <c r="AP12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3" s="1"/>
      <c r="AR1223" s="1"/>
    </row>
    <row r="1224" spans="1:44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58</v>
      </c>
      <c r="X1224">
        <v>2195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833</v>
      </c>
      <c r="AJ1224">
        <v>767</v>
      </c>
      <c r="AK1224">
        <v>1</v>
      </c>
      <c r="AL1224">
        <f t="shared" si="19"/>
        <v>899</v>
      </c>
      <c r="AM1224">
        <f>IF(OR(Table1[[#This Row],[marital_Married]]=1,Table1[[#This Row],[marital_Together]]=1),1,0)</f>
        <v>0</v>
      </c>
      <c r="AN1224" t="str">
        <f>IF(Table1[[#This Row],[Income]]&gt;=70000,"HIGH INCOME","LOW INCOME")</f>
        <v>HIGH INCOME</v>
      </c>
      <c r="AO1224" s="1" t="str">
        <f>IF(Table1[[#This Row],[MNT_TOTAL]]&gt;=900,"HIGH VALUE","LOW VALUE")</f>
        <v>LOW VALUE</v>
      </c>
      <c r="AP12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24" s="1"/>
      <c r="AR1224" s="1"/>
    </row>
    <row r="1225" spans="1:44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73</v>
      </c>
      <c r="X1225">
        <v>2229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666</v>
      </c>
      <c r="AJ1225">
        <v>621</v>
      </c>
      <c r="AK1225">
        <v>0</v>
      </c>
      <c r="AL1225">
        <f t="shared" si="19"/>
        <v>711</v>
      </c>
      <c r="AM1225">
        <f>IF(OR(Table1[[#This Row],[marital_Married]]=1,Table1[[#This Row],[marital_Together]]=1),1,0)</f>
        <v>1</v>
      </c>
      <c r="AN1225" t="str">
        <f>IF(Table1[[#This Row],[Income]]&gt;=70000,"HIGH INCOME","LOW INCOME")</f>
        <v>LOW INCOME</v>
      </c>
      <c r="AO1225" s="1" t="str">
        <f>IF(Table1[[#This Row],[MNT_TOTAL]]&gt;=900,"HIGH VALUE","LOW VALUE")</f>
        <v>LOW VALUE</v>
      </c>
      <c r="AP12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5" s="1"/>
      <c r="AR1225" s="1"/>
    </row>
    <row r="1226" spans="1:44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42</v>
      </c>
      <c r="X1226">
        <v>2853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306</v>
      </c>
      <c r="AJ1226">
        <v>261</v>
      </c>
      <c r="AK1226">
        <v>0</v>
      </c>
      <c r="AL1226">
        <f t="shared" si="19"/>
        <v>351</v>
      </c>
      <c r="AM1226">
        <f>IF(OR(Table1[[#This Row],[marital_Married]]=1,Table1[[#This Row],[marital_Together]]=1),1,0)</f>
        <v>1</v>
      </c>
      <c r="AN1226" t="str">
        <f>IF(Table1[[#This Row],[Income]]&gt;=70000,"HIGH INCOME","LOW INCOME")</f>
        <v>LOW INCOME</v>
      </c>
      <c r="AO1226" s="1" t="str">
        <f>IF(Table1[[#This Row],[MNT_TOTAL]]&gt;=900,"HIGH VALUE","LOW VALUE")</f>
        <v>LOW VALUE</v>
      </c>
      <c r="AP12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6" s="1"/>
      <c r="AR1226" s="1"/>
    </row>
    <row r="1227" spans="1:44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49</v>
      </c>
      <c r="X1227">
        <v>2201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7</v>
      </c>
      <c r="AJ1227">
        <v>6</v>
      </c>
      <c r="AK1227">
        <v>0</v>
      </c>
      <c r="AL1227">
        <f t="shared" si="19"/>
        <v>8</v>
      </c>
      <c r="AM1227">
        <f>IF(OR(Table1[[#This Row],[marital_Married]]=1,Table1[[#This Row],[marital_Together]]=1),1,0)</f>
        <v>0</v>
      </c>
      <c r="AN1227" t="str">
        <f>IF(Table1[[#This Row],[Income]]&gt;=70000,"HIGH INCOME","LOW INCOME")</f>
        <v>LOW INCOME</v>
      </c>
      <c r="AO1227" s="1" t="str">
        <f>IF(Table1[[#This Row],[MNT_TOTAL]]&gt;=900,"HIGH VALUE","LOW VALUE")</f>
        <v>LOW VALUE</v>
      </c>
      <c r="AP12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27" s="1"/>
      <c r="AR1227" s="1"/>
    </row>
    <row r="1228" spans="1:44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28</v>
      </c>
      <c r="X1228">
        <v>2732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79</v>
      </c>
      <c r="AJ1228">
        <v>39</v>
      </c>
      <c r="AK1228">
        <v>0</v>
      </c>
      <c r="AL1228">
        <f t="shared" si="19"/>
        <v>119</v>
      </c>
      <c r="AM1228">
        <f>IF(OR(Table1[[#This Row],[marital_Married]]=1,Table1[[#This Row],[marital_Together]]=1),1,0)</f>
        <v>0</v>
      </c>
      <c r="AN1228" t="str">
        <f>IF(Table1[[#This Row],[Income]]&gt;=70000,"HIGH INCOME","LOW INCOME")</f>
        <v>LOW INCOME</v>
      </c>
      <c r="AO1228" s="1" t="str">
        <f>IF(Table1[[#This Row],[MNT_TOTAL]]&gt;=900,"HIGH VALUE","LOW VALUE")</f>
        <v>LOW VALUE</v>
      </c>
      <c r="AP12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28" s="1"/>
      <c r="AR1228" s="1"/>
    </row>
    <row r="1229" spans="1:44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52</v>
      </c>
      <c r="X1229">
        <v>2609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17</v>
      </c>
      <c r="AJ1229">
        <v>13</v>
      </c>
      <c r="AK1229">
        <v>0</v>
      </c>
      <c r="AL1229">
        <f t="shared" si="19"/>
        <v>21</v>
      </c>
      <c r="AM1229">
        <f>IF(OR(Table1[[#This Row],[marital_Married]]=1,Table1[[#This Row],[marital_Together]]=1),1,0)</f>
        <v>1</v>
      </c>
      <c r="AN1229" t="str">
        <f>IF(Table1[[#This Row],[Income]]&gt;=70000,"HIGH INCOME","LOW INCOME")</f>
        <v>LOW INCOME</v>
      </c>
      <c r="AO1229" s="1" t="str">
        <f>IF(Table1[[#This Row],[MNT_TOTAL]]&gt;=900,"HIGH VALUE","LOW VALUE")</f>
        <v>LOW VALUE</v>
      </c>
      <c r="AP12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29" s="1"/>
      <c r="AR1229" s="1"/>
    </row>
    <row r="1230" spans="1:44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47</v>
      </c>
      <c r="X1230">
        <v>2256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9</v>
      </c>
      <c r="AJ1230">
        <v>8</v>
      </c>
      <c r="AK1230">
        <v>0</v>
      </c>
      <c r="AL1230">
        <f t="shared" si="19"/>
        <v>10</v>
      </c>
      <c r="AM1230">
        <f>IF(OR(Table1[[#This Row],[marital_Married]]=1,Table1[[#This Row],[marital_Together]]=1),1,0)</f>
        <v>1</v>
      </c>
      <c r="AN1230" t="str">
        <f>IF(Table1[[#This Row],[Income]]&gt;=70000,"HIGH INCOME","LOW INCOME")</f>
        <v>LOW INCOME</v>
      </c>
      <c r="AO1230" s="1" t="str">
        <f>IF(Table1[[#This Row],[MNT_TOTAL]]&gt;=900,"HIGH VALUE","LOW VALUE")</f>
        <v>LOW VALUE</v>
      </c>
      <c r="AP12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30" s="1"/>
      <c r="AR1230" s="1"/>
    </row>
    <row r="1231" spans="1:44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45</v>
      </c>
      <c r="X1231">
        <v>2195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954</v>
      </c>
      <c r="AJ1231">
        <v>935</v>
      </c>
      <c r="AK1231">
        <v>1</v>
      </c>
      <c r="AL1231">
        <f t="shared" si="19"/>
        <v>973</v>
      </c>
      <c r="AM1231">
        <f>IF(OR(Table1[[#This Row],[marital_Married]]=1,Table1[[#This Row],[marital_Together]]=1),1,0)</f>
        <v>1</v>
      </c>
      <c r="AN1231" t="str">
        <f>IF(Table1[[#This Row],[Income]]&gt;=70000,"HIGH INCOME","LOW INCOME")</f>
        <v>LOW INCOME</v>
      </c>
      <c r="AO1231" s="1" t="str">
        <f>IF(Table1[[#This Row],[MNT_TOTAL]]&gt;=900,"HIGH VALUE","LOW VALUE")</f>
        <v>HIGH VALUE</v>
      </c>
      <c r="AP12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1" s="1"/>
      <c r="AR1231" s="1"/>
    </row>
    <row r="1232" spans="1:44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1</v>
      </c>
      <c r="W1232">
        <v>55</v>
      </c>
      <c r="X1232">
        <v>2465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1492</v>
      </c>
      <c r="AJ1232">
        <v>1448</v>
      </c>
      <c r="AK1232">
        <v>2</v>
      </c>
      <c r="AL1232">
        <f t="shared" si="19"/>
        <v>1536</v>
      </c>
      <c r="AM1232">
        <f>IF(OR(Table1[[#This Row],[marital_Married]]=1,Table1[[#This Row],[marital_Together]]=1),1,0)</f>
        <v>1</v>
      </c>
      <c r="AN1232" t="str">
        <f>IF(Table1[[#This Row],[Income]]&gt;=70000,"HIGH INCOME","LOW INCOME")</f>
        <v>LOW INCOME</v>
      </c>
      <c r="AO1232" s="1" t="str">
        <f>IF(Table1[[#This Row],[MNT_TOTAL]]&gt;=900,"HIGH VALUE","LOW VALUE")</f>
        <v>HIGH VALUE</v>
      </c>
      <c r="AP12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2" s="1"/>
      <c r="AR1232" s="1"/>
    </row>
    <row r="1233" spans="1:44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68</v>
      </c>
      <c r="X1233">
        <v>2507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962</v>
      </c>
      <c r="AJ1233">
        <v>932</v>
      </c>
      <c r="AK1233">
        <v>1</v>
      </c>
      <c r="AL1233">
        <f t="shared" si="19"/>
        <v>992</v>
      </c>
      <c r="AM1233">
        <f>IF(OR(Table1[[#This Row],[marital_Married]]=1,Table1[[#This Row],[marital_Together]]=1),1,0)</f>
        <v>1</v>
      </c>
      <c r="AN1233" t="str">
        <f>IF(Table1[[#This Row],[Income]]&gt;=70000,"HIGH INCOME","LOW INCOME")</f>
        <v>LOW INCOME</v>
      </c>
      <c r="AO1233" s="1" t="str">
        <f>IF(Table1[[#This Row],[MNT_TOTAL]]&gt;=900,"HIGH VALUE","LOW VALUE")</f>
        <v>HIGH VALUE</v>
      </c>
      <c r="AP12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3" s="1"/>
      <c r="AR1233" s="1"/>
    </row>
    <row r="1234" spans="1:44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53</v>
      </c>
      <c r="X1234">
        <v>2651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1502</v>
      </c>
      <c r="AJ1234">
        <v>1475</v>
      </c>
      <c r="AK1234">
        <v>1</v>
      </c>
      <c r="AL1234">
        <f t="shared" si="19"/>
        <v>1529</v>
      </c>
      <c r="AM1234">
        <f>IF(OR(Table1[[#This Row],[marital_Married]]=1,Table1[[#This Row],[marital_Together]]=1),1,0)</f>
        <v>1</v>
      </c>
      <c r="AN1234" t="str">
        <f>IF(Table1[[#This Row],[Income]]&gt;=70000,"HIGH INCOME","LOW INCOME")</f>
        <v>HIGH INCOME</v>
      </c>
      <c r="AO1234" s="1" t="str">
        <f>IF(Table1[[#This Row],[MNT_TOTAL]]&gt;=900,"HIGH VALUE","LOW VALUE")</f>
        <v>HIGH VALUE</v>
      </c>
      <c r="AP12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34" s="1"/>
      <c r="AR1234" s="1"/>
    </row>
    <row r="1235" spans="1:44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48</v>
      </c>
      <c r="X1235">
        <v>2449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789</v>
      </c>
      <c r="AJ1235">
        <v>718</v>
      </c>
      <c r="AK1235">
        <v>0</v>
      </c>
      <c r="AL1235">
        <f t="shared" si="19"/>
        <v>860</v>
      </c>
      <c r="AM1235">
        <f>IF(OR(Table1[[#This Row],[marital_Married]]=1,Table1[[#This Row],[marital_Together]]=1),1,0)</f>
        <v>1</v>
      </c>
      <c r="AN1235" t="str">
        <f>IF(Table1[[#This Row],[Income]]&gt;=70000,"HIGH INCOME","LOW INCOME")</f>
        <v>HIGH INCOME</v>
      </c>
      <c r="AO1235" s="1" t="str">
        <f>IF(Table1[[#This Row],[MNT_TOTAL]]&gt;=900,"HIGH VALUE","LOW VALUE")</f>
        <v>LOW VALUE</v>
      </c>
      <c r="AP12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5" s="1"/>
      <c r="AR1235" s="1"/>
    </row>
    <row r="1236" spans="1:44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57</v>
      </c>
      <c r="X1236">
        <v>2413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774</v>
      </c>
      <c r="AJ1236">
        <v>620</v>
      </c>
      <c r="AK1236">
        <v>0</v>
      </c>
      <c r="AL1236">
        <f t="shared" si="19"/>
        <v>928</v>
      </c>
      <c r="AM1236">
        <f>IF(OR(Table1[[#This Row],[marital_Married]]=1,Table1[[#This Row],[marital_Together]]=1),1,0)</f>
        <v>0</v>
      </c>
      <c r="AN1236" t="str">
        <f>IF(Table1[[#This Row],[Income]]&gt;=70000,"HIGH INCOME","LOW INCOME")</f>
        <v>LOW INCOME</v>
      </c>
      <c r="AO1236" s="1" t="str">
        <f>IF(Table1[[#This Row],[MNT_TOTAL]]&gt;=900,"HIGH VALUE","LOW VALUE")</f>
        <v>HIGH VALUE</v>
      </c>
      <c r="AP12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6" s="1"/>
      <c r="AR1236" s="1"/>
    </row>
    <row r="1237" spans="1:44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50</v>
      </c>
      <c r="X1237">
        <v>2858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395</v>
      </c>
      <c r="AJ1237">
        <v>372</v>
      </c>
      <c r="AK1237">
        <v>0</v>
      </c>
      <c r="AL1237">
        <f t="shared" si="19"/>
        <v>418</v>
      </c>
      <c r="AM1237">
        <f>IF(OR(Table1[[#This Row],[marital_Married]]=1,Table1[[#This Row],[marital_Together]]=1),1,0)</f>
        <v>1</v>
      </c>
      <c r="AN1237" t="str">
        <f>IF(Table1[[#This Row],[Income]]&gt;=70000,"HIGH INCOME","LOW INCOME")</f>
        <v>LOW INCOME</v>
      </c>
      <c r="AO1237" s="1" t="str">
        <f>IF(Table1[[#This Row],[MNT_TOTAL]]&gt;=900,"HIGH VALUE","LOW VALUE")</f>
        <v>LOW VALUE</v>
      </c>
      <c r="AP12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37" s="1"/>
      <c r="AR1237" s="1"/>
    </row>
    <row r="1238" spans="1:44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65</v>
      </c>
      <c r="X1238">
        <v>2854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395</v>
      </c>
      <c r="AJ1238">
        <v>203</v>
      </c>
      <c r="AK1238">
        <v>0</v>
      </c>
      <c r="AL1238">
        <f t="shared" si="19"/>
        <v>587</v>
      </c>
      <c r="AM1238">
        <f>IF(OR(Table1[[#This Row],[marital_Married]]=1,Table1[[#This Row],[marital_Together]]=1),1,0)</f>
        <v>1</v>
      </c>
      <c r="AN1238" t="str">
        <f>IF(Table1[[#This Row],[Income]]&gt;=70000,"HIGH INCOME","LOW INCOME")</f>
        <v>LOW INCOME</v>
      </c>
      <c r="AO1238" s="1" t="str">
        <f>IF(Table1[[#This Row],[MNT_TOTAL]]&gt;=900,"HIGH VALUE","LOW VALUE")</f>
        <v>LOW VALUE</v>
      </c>
      <c r="AP12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38" s="1"/>
      <c r="AR1238" s="1"/>
    </row>
    <row r="1239" spans="1:44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45</v>
      </c>
      <c r="X1239">
        <v>2207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577</v>
      </c>
      <c r="AJ1239">
        <v>513</v>
      </c>
      <c r="AK1239">
        <v>0</v>
      </c>
      <c r="AL1239">
        <f t="shared" si="19"/>
        <v>641</v>
      </c>
      <c r="AM1239">
        <f>IF(OR(Table1[[#This Row],[marital_Married]]=1,Table1[[#This Row],[marital_Together]]=1),1,0)</f>
        <v>1</v>
      </c>
      <c r="AN1239" t="str">
        <f>IF(Table1[[#This Row],[Income]]&gt;=70000,"HIGH INCOME","LOW INCOME")</f>
        <v>HIGH INCOME</v>
      </c>
      <c r="AO1239" s="1" t="str">
        <f>IF(Table1[[#This Row],[MNT_TOTAL]]&gt;=900,"HIGH VALUE","LOW VALUE")</f>
        <v>LOW VALUE</v>
      </c>
      <c r="AP12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39" s="1"/>
      <c r="AR1239" s="1"/>
    </row>
    <row r="1240" spans="1:44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44</v>
      </c>
      <c r="X1240">
        <v>2261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17</v>
      </c>
      <c r="AJ1240">
        <v>11</v>
      </c>
      <c r="AK1240">
        <v>1</v>
      </c>
      <c r="AL1240">
        <f t="shared" si="19"/>
        <v>23</v>
      </c>
      <c r="AM1240">
        <f>IF(OR(Table1[[#This Row],[marital_Married]]=1,Table1[[#This Row],[marital_Together]]=1),1,0)</f>
        <v>1</v>
      </c>
      <c r="AN1240" t="str">
        <f>IF(Table1[[#This Row],[Income]]&gt;=70000,"HIGH INCOME","LOW INCOME")</f>
        <v>LOW INCOME</v>
      </c>
      <c r="AO1240" s="1" t="str">
        <f>IF(Table1[[#This Row],[MNT_TOTAL]]&gt;=900,"HIGH VALUE","LOW VALUE")</f>
        <v>LOW VALUE</v>
      </c>
      <c r="AP12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40" s="1"/>
      <c r="AR1240" s="1"/>
    </row>
    <row r="1241" spans="1:44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51</v>
      </c>
      <c r="X1241">
        <v>2476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2153</v>
      </c>
      <c r="AJ1241">
        <v>2027</v>
      </c>
      <c r="AK1241">
        <v>2</v>
      </c>
      <c r="AL1241">
        <f t="shared" si="19"/>
        <v>2279</v>
      </c>
      <c r="AM1241">
        <f>IF(OR(Table1[[#This Row],[marital_Married]]=1,Table1[[#This Row],[marital_Together]]=1),1,0)</f>
        <v>1</v>
      </c>
      <c r="AN1241" t="str">
        <f>IF(Table1[[#This Row],[Income]]&gt;=70000,"HIGH INCOME","LOW INCOME")</f>
        <v>HIGH INCOME</v>
      </c>
      <c r="AO1241" s="1" t="str">
        <f>IF(Table1[[#This Row],[MNT_TOTAL]]&gt;=900,"HIGH VALUE","LOW VALUE")</f>
        <v>HIGH VALUE</v>
      </c>
      <c r="AP12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41" s="1"/>
      <c r="AR1241" s="1"/>
    </row>
    <row r="1242" spans="1:44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47</v>
      </c>
      <c r="X1242">
        <v>2200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29</v>
      </c>
      <c r="AJ1242">
        <v>9</v>
      </c>
      <c r="AK1242">
        <v>1</v>
      </c>
      <c r="AL1242">
        <f t="shared" si="19"/>
        <v>49</v>
      </c>
      <c r="AM1242">
        <f>IF(OR(Table1[[#This Row],[marital_Married]]=1,Table1[[#This Row],[marital_Together]]=1),1,0)</f>
        <v>0</v>
      </c>
      <c r="AN1242" t="str">
        <f>IF(Table1[[#This Row],[Income]]&gt;=70000,"HIGH INCOME","LOW INCOME")</f>
        <v>LOW INCOME</v>
      </c>
      <c r="AO1242" s="1" t="str">
        <f>IF(Table1[[#This Row],[MNT_TOTAL]]&gt;=900,"HIGH VALUE","LOW VALUE")</f>
        <v>LOW VALUE</v>
      </c>
      <c r="AP12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42" s="1"/>
      <c r="AR1242" s="1"/>
    </row>
    <row r="1243" spans="1:44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1</v>
      </c>
      <c r="W1243">
        <v>37</v>
      </c>
      <c r="X1243">
        <v>2562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1728</v>
      </c>
      <c r="AJ1243">
        <v>1677</v>
      </c>
      <c r="AK1243">
        <v>1</v>
      </c>
      <c r="AL1243">
        <f t="shared" si="19"/>
        <v>1779</v>
      </c>
      <c r="AM1243">
        <f>IF(OR(Table1[[#This Row],[marital_Married]]=1,Table1[[#This Row],[marital_Together]]=1),1,0)</f>
        <v>0</v>
      </c>
      <c r="AN1243" t="str">
        <f>IF(Table1[[#This Row],[Income]]&gt;=70000,"HIGH INCOME","LOW INCOME")</f>
        <v>HIGH INCOME</v>
      </c>
      <c r="AO1243" s="1" t="str">
        <f>IF(Table1[[#This Row],[MNT_TOTAL]]&gt;=900,"HIGH VALUE","LOW VALUE")</f>
        <v>HIGH VALUE</v>
      </c>
      <c r="AP12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243" s="1"/>
      <c r="AR1243" s="1"/>
    </row>
    <row r="1244" spans="1:44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38</v>
      </c>
      <c r="X1244">
        <v>2365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1767</v>
      </c>
      <c r="AJ1244">
        <v>1730</v>
      </c>
      <c r="AK1244">
        <v>2</v>
      </c>
      <c r="AL1244">
        <f t="shared" si="19"/>
        <v>1804</v>
      </c>
      <c r="AM1244">
        <f>IF(OR(Table1[[#This Row],[marital_Married]]=1,Table1[[#This Row],[marital_Together]]=1),1,0)</f>
        <v>1</v>
      </c>
      <c r="AN1244" t="str">
        <f>IF(Table1[[#This Row],[Income]]&gt;=70000,"HIGH INCOME","LOW INCOME")</f>
        <v>HIGH INCOME</v>
      </c>
      <c r="AO1244" s="1" t="str">
        <f>IF(Table1[[#This Row],[MNT_TOTAL]]&gt;=900,"HIGH VALUE","LOW VALUE")</f>
        <v>HIGH VALUE</v>
      </c>
      <c r="AP12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44" s="1"/>
      <c r="AR1244" s="1"/>
    </row>
    <row r="1245" spans="1:44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60</v>
      </c>
      <c r="X1245">
        <v>2517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39</v>
      </c>
      <c r="AJ1245">
        <v>30</v>
      </c>
      <c r="AK1245">
        <v>0</v>
      </c>
      <c r="AL1245">
        <f t="shared" si="19"/>
        <v>48</v>
      </c>
      <c r="AM1245">
        <f>IF(OR(Table1[[#This Row],[marital_Married]]=1,Table1[[#This Row],[marital_Together]]=1),1,0)</f>
        <v>1</v>
      </c>
      <c r="AN1245" t="str">
        <f>IF(Table1[[#This Row],[Income]]&gt;=70000,"HIGH INCOME","LOW INCOME")</f>
        <v>LOW INCOME</v>
      </c>
      <c r="AO1245" s="1" t="str">
        <f>IF(Table1[[#This Row],[MNT_TOTAL]]&gt;=900,"HIGH VALUE","LOW VALUE")</f>
        <v>LOW VALUE</v>
      </c>
      <c r="AP12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45" s="1"/>
      <c r="AR1245" s="1"/>
    </row>
    <row r="1246" spans="1:44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68</v>
      </c>
      <c r="X1246">
        <v>2274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60</v>
      </c>
      <c r="AJ1246">
        <v>37</v>
      </c>
      <c r="AK1246">
        <v>0</v>
      </c>
      <c r="AL1246">
        <f t="shared" si="19"/>
        <v>83</v>
      </c>
      <c r="AM1246">
        <f>IF(OR(Table1[[#This Row],[marital_Married]]=1,Table1[[#This Row],[marital_Together]]=1),1,0)</f>
        <v>0</v>
      </c>
      <c r="AN1246" t="str">
        <f>IF(Table1[[#This Row],[Income]]&gt;=70000,"HIGH INCOME","LOW INCOME")</f>
        <v>LOW INCOME</v>
      </c>
      <c r="AO1246" s="1" t="str">
        <f>IF(Table1[[#This Row],[MNT_TOTAL]]&gt;=900,"HIGH VALUE","LOW VALUE")</f>
        <v>LOW VALUE</v>
      </c>
      <c r="AP12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46" s="1"/>
      <c r="AR1246" s="1"/>
    </row>
    <row r="1247" spans="1:44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1</v>
      </c>
      <c r="W1247">
        <v>45</v>
      </c>
      <c r="X1247">
        <v>2423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1835</v>
      </c>
      <c r="AJ1247">
        <v>1808</v>
      </c>
      <c r="AK1247">
        <v>3</v>
      </c>
      <c r="AL1247">
        <f t="shared" si="19"/>
        <v>1862</v>
      </c>
      <c r="AM1247">
        <f>IF(OR(Table1[[#This Row],[marital_Married]]=1,Table1[[#This Row],[marital_Together]]=1),1,0)</f>
        <v>0</v>
      </c>
      <c r="AN1247" t="str">
        <f>IF(Table1[[#This Row],[Income]]&gt;=70000,"HIGH INCOME","LOW INCOME")</f>
        <v>HIGH INCOME</v>
      </c>
      <c r="AO1247" s="1" t="str">
        <f>IF(Table1[[#This Row],[MNT_TOTAL]]&gt;=900,"HIGH VALUE","LOW VALUE")</f>
        <v>HIGH VALUE</v>
      </c>
      <c r="AP12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247" s="1"/>
      <c r="AR1247" s="1"/>
    </row>
    <row r="1248" spans="1:44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57</v>
      </c>
      <c r="X1248">
        <v>2802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661</v>
      </c>
      <c r="AJ1248">
        <v>529</v>
      </c>
      <c r="AK1248">
        <v>0</v>
      </c>
      <c r="AL1248">
        <f t="shared" si="19"/>
        <v>793</v>
      </c>
      <c r="AM1248">
        <f>IF(OR(Table1[[#This Row],[marital_Married]]=1,Table1[[#This Row],[marital_Together]]=1),1,0)</f>
        <v>1</v>
      </c>
      <c r="AN1248" t="str">
        <f>IF(Table1[[#This Row],[Income]]&gt;=70000,"HIGH INCOME","LOW INCOME")</f>
        <v>LOW INCOME</v>
      </c>
      <c r="AO1248" s="1" t="str">
        <f>IF(Table1[[#This Row],[MNT_TOTAL]]&gt;=900,"HIGH VALUE","LOW VALUE")</f>
        <v>LOW VALUE</v>
      </c>
      <c r="AP12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48" s="1"/>
      <c r="AR1248" s="1"/>
    </row>
    <row r="1249" spans="1:44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50</v>
      </c>
      <c r="X1249">
        <v>2665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52</v>
      </c>
      <c r="AJ1249">
        <v>20</v>
      </c>
      <c r="AK1249">
        <v>0</v>
      </c>
      <c r="AL1249">
        <f t="shared" si="19"/>
        <v>84</v>
      </c>
      <c r="AM1249">
        <f>IF(OR(Table1[[#This Row],[marital_Married]]=1,Table1[[#This Row],[marital_Together]]=1),1,0)</f>
        <v>1</v>
      </c>
      <c r="AN1249" t="str">
        <f>IF(Table1[[#This Row],[Income]]&gt;=70000,"HIGH INCOME","LOW INCOME")</f>
        <v>LOW INCOME</v>
      </c>
      <c r="AO1249" s="1" t="str">
        <f>IF(Table1[[#This Row],[MNT_TOTAL]]&gt;=900,"HIGH VALUE","LOW VALUE")</f>
        <v>LOW VALUE</v>
      </c>
      <c r="AP12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49" s="1"/>
      <c r="AR1249" s="1"/>
    </row>
    <row r="1250" spans="1:44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72</v>
      </c>
      <c r="X1250">
        <v>2472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182</v>
      </c>
      <c r="AJ1250">
        <v>181</v>
      </c>
      <c r="AK1250">
        <v>0</v>
      </c>
      <c r="AL1250">
        <f t="shared" si="19"/>
        <v>183</v>
      </c>
      <c r="AM1250">
        <f>IF(OR(Table1[[#This Row],[marital_Married]]=1,Table1[[#This Row],[marital_Together]]=1),1,0)</f>
        <v>1</v>
      </c>
      <c r="AN1250" t="str">
        <f>IF(Table1[[#This Row],[Income]]&gt;=70000,"HIGH INCOME","LOW INCOME")</f>
        <v>LOW INCOME</v>
      </c>
      <c r="AO1250" s="1" t="str">
        <f>IF(Table1[[#This Row],[MNT_TOTAL]]&gt;=900,"HIGH VALUE","LOW VALUE")</f>
        <v>LOW VALUE</v>
      </c>
      <c r="AP12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50" s="1"/>
      <c r="AR1250" s="1"/>
    </row>
    <row r="1251" spans="1:44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62</v>
      </c>
      <c r="X1251">
        <v>2167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1329</v>
      </c>
      <c r="AJ1251">
        <v>1275</v>
      </c>
      <c r="AK1251">
        <v>0</v>
      </c>
      <c r="AL1251">
        <f t="shared" si="19"/>
        <v>1383</v>
      </c>
      <c r="AM1251">
        <f>IF(OR(Table1[[#This Row],[marital_Married]]=1,Table1[[#This Row],[marital_Together]]=1),1,0)</f>
        <v>0</v>
      </c>
      <c r="AN1251" t="str">
        <f>IF(Table1[[#This Row],[Income]]&gt;=70000,"HIGH INCOME","LOW INCOME")</f>
        <v>HIGH INCOME</v>
      </c>
      <c r="AO1251" s="1" t="str">
        <f>IF(Table1[[#This Row],[MNT_TOTAL]]&gt;=900,"HIGH VALUE","LOW VALUE")</f>
        <v>HIGH VALUE</v>
      </c>
      <c r="AP12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251" s="1"/>
      <c r="AR1251" s="1"/>
    </row>
    <row r="1252" spans="1:44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76</v>
      </c>
      <c r="X1252">
        <v>2242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961</v>
      </c>
      <c r="AJ1252">
        <v>923</v>
      </c>
      <c r="AK1252">
        <v>1</v>
      </c>
      <c r="AL1252">
        <f t="shared" si="19"/>
        <v>999</v>
      </c>
      <c r="AM1252">
        <f>IF(OR(Table1[[#This Row],[marital_Married]]=1,Table1[[#This Row],[marital_Together]]=1),1,0)</f>
        <v>1</v>
      </c>
      <c r="AN1252" t="str">
        <f>IF(Table1[[#This Row],[Income]]&gt;=70000,"HIGH INCOME","LOW INCOME")</f>
        <v>LOW INCOME</v>
      </c>
      <c r="AO1252" s="1" t="str">
        <f>IF(Table1[[#This Row],[MNT_TOTAL]]&gt;=900,"HIGH VALUE","LOW VALUE")</f>
        <v>HIGH VALUE</v>
      </c>
      <c r="AP12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52" s="1"/>
      <c r="AR1252" s="1"/>
    </row>
    <row r="1253" spans="1:44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57</v>
      </c>
      <c r="X1253">
        <v>2682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810</v>
      </c>
      <c r="AJ1253">
        <v>795</v>
      </c>
      <c r="AK1253">
        <v>0</v>
      </c>
      <c r="AL1253">
        <f t="shared" si="19"/>
        <v>825</v>
      </c>
      <c r="AM1253">
        <f>IF(OR(Table1[[#This Row],[marital_Married]]=1,Table1[[#This Row],[marital_Together]]=1),1,0)</f>
        <v>0</v>
      </c>
      <c r="AN1253" t="str">
        <f>IF(Table1[[#This Row],[Income]]&gt;=70000,"HIGH INCOME","LOW INCOME")</f>
        <v>LOW INCOME</v>
      </c>
      <c r="AO1253" s="1" t="str">
        <f>IF(Table1[[#This Row],[MNT_TOTAL]]&gt;=900,"HIGH VALUE","LOW VALUE")</f>
        <v>LOW VALUE</v>
      </c>
      <c r="AP12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53" s="1"/>
      <c r="AR1253" s="1"/>
    </row>
    <row r="1254" spans="1:44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48</v>
      </c>
      <c r="X1254">
        <v>2831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216</v>
      </c>
      <c r="AJ1254">
        <v>186</v>
      </c>
      <c r="AK1254">
        <v>1</v>
      </c>
      <c r="AL1254">
        <f t="shared" si="19"/>
        <v>246</v>
      </c>
      <c r="AM1254">
        <f>IF(OR(Table1[[#This Row],[marital_Married]]=1,Table1[[#This Row],[marital_Together]]=1),1,0)</f>
        <v>0</v>
      </c>
      <c r="AN1254" t="str">
        <f>IF(Table1[[#This Row],[Income]]&gt;=70000,"HIGH INCOME","LOW INCOME")</f>
        <v>LOW INCOME</v>
      </c>
      <c r="AO1254" s="1" t="str">
        <f>IF(Table1[[#This Row],[MNT_TOTAL]]&gt;=900,"HIGH VALUE","LOW VALUE")</f>
        <v>LOW VALUE</v>
      </c>
      <c r="AP12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54" s="1"/>
      <c r="AR1254" s="1"/>
    </row>
    <row r="1255" spans="1:44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2626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540</v>
      </c>
      <c r="AJ1255">
        <v>470</v>
      </c>
      <c r="AK1255">
        <v>0</v>
      </c>
      <c r="AL1255">
        <f t="shared" si="19"/>
        <v>610</v>
      </c>
      <c r="AM1255">
        <f>IF(OR(Table1[[#This Row],[marital_Married]]=1,Table1[[#This Row],[marital_Together]]=1),1,0)</f>
        <v>1</v>
      </c>
      <c r="AN1255" t="str">
        <f>IF(Table1[[#This Row],[Income]]&gt;=70000,"HIGH INCOME","LOW INCOME")</f>
        <v>LOW INCOME</v>
      </c>
      <c r="AO1255" s="1" t="str">
        <f>IF(Table1[[#This Row],[MNT_TOTAL]]&gt;=900,"HIGH VALUE","LOW VALUE")</f>
        <v>LOW VALUE</v>
      </c>
      <c r="AP12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55" s="1"/>
      <c r="AR1255" s="1"/>
    </row>
    <row r="1256" spans="1:44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52</v>
      </c>
      <c r="X1256">
        <v>2744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68</v>
      </c>
      <c r="AJ1256">
        <v>60</v>
      </c>
      <c r="AK1256">
        <v>0</v>
      </c>
      <c r="AL1256">
        <f t="shared" si="19"/>
        <v>76</v>
      </c>
      <c r="AM1256">
        <f>IF(OR(Table1[[#This Row],[marital_Married]]=1,Table1[[#This Row],[marital_Together]]=1),1,0)</f>
        <v>0</v>
      </c>
      <c r="AN1256" t="str">
        <f>IF(Table1[[#This Row],[Income]]&gt;=70000,"HIGH INCOME","LOW INCOME")</f>
        <v>LOW INCOME</v>
      </c>
      <c r="AO1256" s="1" t="str">
        <f>IF(Table1[[#This Row],[MNT_TOTAL]]&gt;=900,"HIGH VALUE","LOW VALUE")</f>
        <v>LOW VALUE</v>
      </c>
      <c r="AP12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56" s="1"/>
      <c r="AR1256" s="1"/>
    </row>
    <row r="1257" spans="1:44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49</v>
      </c>
      <c r="X1257">
        <v>2647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1226</v>
      </c>
      <c r="AJ1257">
        <v>1166</v>
      </c>
      <c r="AK1257">
        <v>1</v>
      </c>
      <c r="AL1257">
        <f t="shared" si="19"/>
        <v>1286</v>
      </c>
      <c r="AM1257">
        <f>IF(OR(Table1[[#This Row],[marital_Married]]=1,Table1[[#This Row],[marital_Together]]=1),1,0)</f>
        <v>1</v>
      </c>
      <c r="AN1257" t="str">
        <f>IF(Table1[[#This Row],[Income]]&gt;=70000,"HIGH INCOME","LOW INCOME")</f>
        <v>LOW INCOME</v>
      </c>
      <c r="AO1257" s="1" t="str">
        <f>IF(Table1[[#This Row],[MNT_TOTAL]]&gt;=900,"HIGH VALUE","LOW VALUE")</f>
        <v>HIGH VALUE</v>
      </c>
      <c r="AP12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57" s="1"/>
      <c r="AR1257" s="1"/>
    </row>
    <row r="1258" spans="1:44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45</v>
      </c>
      <c r="X1258">
        <v>2354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20</v>
      </c>
      <c r="AJ1258">
        <v>10</v>
      </c>
      <c r="AK1258">
        <v>1</v>
      </c>
      <c r="AL1258">
        <f t="shared" si="19"/>
        <v>30</v>
      </c>
      <c r="AM1258">
        <f>IF(OR(Table1[[#This Row],[marital_Married]]=1,Table1[[#This Row],[marital_Together]]=1),1,0)</f>
        <v>1</v>
      </c>
      <c r="AN1258" t="str">
        <f>IF(Table1[[#This Row],[Income]]&gt;=70000,"HIGH INCOME","LOW INCOME")</f>
        <v>LOW INCOME</v>
      </c>
      <c r="AO1258" s="1" t="str">
        <f>IF(Table1[[#This Row],[MNT_TOTAL]]&gt;=900,"HIGH VALUE","LOW VALUE")</f>
        <v>LOW VALUE</v>
      </c>
      <c r="AP12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58" s="1"/>
      <c r="AR1258" s="1"/>
    </row>
    <row r="1259" spans="1:44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56</v>
      </c>
      <c r="X1259">
        <v>2703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89</v>
      </c>
      <c r="AJ1259">
        <v>79</v>
      </c>
      <c r="AK1259">
        <v>0</v>
      </c>
      <c r="AL1259">
        <f t="shared" si="19"/>
        <v>99</v>
      </c>
      <c r="AM1259">
        <f>IF(OR(Table1[[#This Row],[marital_Married]]=1,Table1[[#This Row],[marital_Together]]=1),1,0)</f>
        <v>1</v>
      </c>
      <c r="AN1259" t="str">
        <f>IF(Table1[[#This Row],[Income]]&gt;=70000,"HIGH INCOME","LOW INCOME")</f>
        <v>LOW INCOME</v>
      </c>
      <c r="AO1259" s="1" t="str">
        <f>IF(Table1[[#This Row],[MNT_TOTAL]]&gt;=900,"HIGH VALUE","LOW VALUE")</f>
        <v>LOW VALUE</v>
      </c>
      <c r="AP12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59" s="1"/>
      <c r="AR1259" s="1"/>
    </row>
    <row r="1260" spans="1:44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42</v>
      </c>
      <c r="X1260">
        <v>2805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982</v>
      </c>
      <c r="AJ1260">
        <v>772</v>
      </c>
      <c r="AK1260">
        <v>1</v>
      </c>
      <c r="AL1260">
        <f t="shared" si="19"/>
        <v>1192</v>
      </c>
      <c r="AM1260">
        <f>IF(OR(Table1[[#This Row],[marital_Married]]=1,Table1[[#This Row],[marital_Together]]=1),1,0)</f>
        <v>0</v>
      </c>
      <c r="AN1260" t="str">
        <f>IF(Table1[[#This Row],[Income]]&gt;=70000,"HIGH INCOME","LOW INCOME")</f>
        <v>HIGH INCOME</v>
      </c>
      <c r="AO1260" s="1" t="str">
        <f>IF(Table1[[#This Row],[MNT_TOTAL]]&gt;=900,"HIGH VALUE","LOW VALUE")</f>
        <v>HIGH VALUE</v>
      </c>
      <c r="AP12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260" s="1"/>
      <c r="AR1260" s="1"/>
    </row>
    <row r="1261" spans="1:44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45</v>
      </c>
      <c r="X1261">
        <v>2371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335</v>
      </c>
      <c r="AJ1261">
        <v>308</v>
      </c>
      <c r="AK1261">
        <v>0</v>
      </c>
      <c r="AL1261">
        <f t="shared" si="19"/>
        <v>362</v>
      </c>
      <c r="AM1261">
        <f>IF(OR(Table1[[#This Row],[marital_Married]]=1,Table1[[#This Row],[marital_Together]]=1),1,0)</f>
        <v>1</v>
      </c>
      <c r="AN1261" t="str">
        <f>IF(Table1[[#This Row],[Income]]&gt;=70000,"HIGH INCOME","LOW INCOME")</f>
        <v>LOW INCOME</v>
      </c>
      <c r="AO1261" s="1" t="str">
        <f>IF(Table1[[#This Row],[MNT_TOTAL]]&gt;=900,"HIGH VALUE","LOW VALUE")</f>
        <v>LOW VALUE</v>
      </c>
      <c r="AP12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1" s="1"/>
      <c r="AR1261" s="1"/>
    </row>
    <row r="1262" spans="1:44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37</v>
      </c>
      <c r="X1262">
        <v>2848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1889</v>
      </c>
      <c r="AJ1262">
        <v>1648</v>
      </c>
      <c r="AK1262">
        <v>1</v>
      </c>
      <c r="AL1262">
        <f t="shared" si="19"/>
        <v>2130</v>
      </c>
      <c r="AM1262">
        <f>IF(OR(Table1[[#This Row],[marital_Married]]=1,Table1[[#This Row],[marital_Together]]=1),1,0)</f>
        <v>1</v>
      </c>
      <c r="AN1262" t="str">
        <f>IF(Table1[[#This Row],[Income]]&gt;=70000,"HIGH INCOME","LOW INCOME")</f>
        <v>HIGH INCOME</v>
      </c>
      <c r="AO1262" s="1" t="str">
        <f>IF(Table1[[#This Row],[MNT_TOTAL]]&gt;=900,"HIGH VALUE","LOW VALUE")</f>
        <v>HIGH VALUE</v>
      </c>
      <c r="AP12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62" s="1"/>
      <c r="AR1262" s="1"/>
    </row>
    <row r="1263" spans="1:44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1</v>
      </c>
      <c r="W1263">
        <v>49</v>
      </c>
      <c r="X1263">
        <v>2839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1110</v>
      </c>
      <c r="AJ1263">
        <v>991</v>
      </c>
      <c r="AK1263">
        <v>2</v>
      </c>
      <c r="AL1263">
        <f t="shared" si="19"/>
        <v>1229</v>
      </c>
      <c r="AM1263">
        <f>IF(OR(Table1[[#This Row],[marital_Married]]=1,Table1[[#This Row],[marital_Together]]=1),1,0)</f>
        <v>0</v>
      </c>
      <c r="AN1263" t="str">
        <f>IF(Table1[[#This Row],[Income]]&gt;=70000,"HIGH INCOME","LOW INCOME")</f>
        <v>LOW INCOME</v>
      </c>
      <c r="AO1263" s="1" t="str">
        <f>IF(Table1[[#This Row],[MNT_TOTAL]]&gt;=900,"HIGH VALUE","LOW VALUE")</f>
        <v>HIGH VALUE</v>
      </c>
      <c r="AP12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63" s="1"/>
      <c r="AR1263" s="1"/>
    </row>
    <row r="1264" spans="1:44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63</v>
      </c>
      <c r="X1264">
        <v>2806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37</v>
      </c>
      <c r="AJ1264">
        <v>36</v>
      </c>
      <c r="AK1264">
        <v>0</v>
      </c>
      <c r="AL1264">
        <f t="shared" si="19"/>
        <v>38</v>
      </c>
      <c r="AM1264">
        <f>IF(OR(Table1[[#This Row],[marital_Married]]=1,Table1[[#This Row],[marital_Together]]=1),1,0)</f>
        <v>1</v>
      </c>
      <c r="AN1264" t="str">
        <f>IF(Table1[[#This Row],[Income]]&gt;=70000,"HIGH INCOME","LOW INCOME")</f>
        <v>LOW INCOME</v>
      </c>
      <c r="AO1264" s="1" t="str">
        <f>IF(Table1[[#This Row],[MNT_TOTAL]]&gt;=900,"HIGH VALUE","LOW VALUE")</f>
        <v>LOW VALUE</v>
      </c>
      <c r="AP12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4" s="1"/>
      <c r="AR1264" s="1"/>
    </row>
    <row r="1265" spans="1:44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69</v>
      </c>
      <c r="X1265">
        <v>2502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438</v>
      </c>
      <c r="AJ1265">
        <v>391</v>
      </c>
      <c r="AK1265">
        <v>0</v>
      </c>
      <c r="AL1265">
        <f t="shared" si="19"/>
        <v>485</v>
      </c>
      <c r="AM1265">
        <f>IF(OR(Table1[[#This Row],[marital_Married]]=1,Table1[[#This Row],[marital_Together]]=1),1,0)</f>
        <v>1</v>
      </c>
      <c r="AN1265" t="str">
        <f>IF(Table1[[#This Row],[Income]]&gt;=70000,"HIGH INCOME","LOW INCOME")</f>
        <v>LOW INCOME</v>
      </c>
      <c r="AO1265" s="1" t="str">
        <f>IF(Table1[[#This Row],[MNT_TOTAL]]&gt;=900,"HIGH VALUE","LOW VALUE")</f>
        <v>LOW VALUE</v>
      </c>
      <c r="AP12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5" s="1"/>
      <c r="AR1265" s="1"/>
    </row>
    <row r="1266" spans="1:44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69</v>
      </c>
      <c r="X1266">
        <v>2760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290</v>
      </c>
      <c r="AJ1266">
        <v>146</v>
      </c>
      <c r="AK1266">
        <v>0</v>
      </c>
      <c r="AL1266">
        <f t="shared" si="19"/>
        <v>434</v>
      </c>
      <c r="AM1266">
        <f>IF(OR(Table1[[#This Row],[marital_Married]]=1,Table1[[#This Row],[marital_Together]]=1),1,0)</f>
        <v>1</v>
      </c>
      <c r="AN1266" t="str">
        <f>IF(Table1[[#This Row],[Income]]&gt;=70000,"HIGH INCOME","LOW INCOME")</f>
        <v>LOW INCOME</v>
      </c>
      <c r="AO1266" s="1" t="str">
        <f>IF(Table1[[#This Row],[MNT_TOTAL]]&gt;=900,"HIGH VALUE","LOW VALUE")</f>
        <v>LOW VALUE</v>
      </c>
      <c r="AP12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6" s="1"/>
      <c r="AR1266" s="1"/>
    </row>
    <row r="1267" spans="1:44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50</v>
      </c>
      <c r="X1267">
        <v>2631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39</v>
      </c>
      <c r="AJ1267">
        <v>34</v>
      </c>
      <c r="AK1267">
        <v>0</v>
      </c>
      <c r="AL1267">
        <f t="shared" si="19"/>
        <v>44</v>
      </c>
      <c r="AM1267">
        <f>IF(OR(Table1[[#This Row],[marital_Married]]=1,Table1[[#This Row],[marital_Together]]=1),1,0)</f>
        <v>0</v>
      </c>
      <c r="AN1267" t="str">
        <f>IF(Table1[[#This Row],[Income]]&gt;=70000,"HIGH INCOME","LOW INCOME")</f>
        <v>LOW INCOME</v>
      </c>
      <c r="AO1267" s="1" t="str">
        <f>IF(Table1[[#This Row],[MNT_TOTAL]]&gt;=900,"HIGH VALUE","LOW VALUE")</f>
        <v>LOW VALUE</v>
      </c>
      <c r="AP12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67" s="1"/>
      <c r="AR1267" s="1"/>
    </row>
    <row r="1268" spans="1:44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48</v>
      </c>
      <c r="X1268">
        <v>2742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492</v>
      </c>
      <c r="AJ1268">
        <v>488</v>
      </c>
      <c r="AK1268">
        <v>1</v>
      </c>
      <c r="AL1268">
        <f t="shared" si="19"/>
        <v>496</v>
      </c>
      <c r="AM1268">
        <f>IF(OR(Table1[[#This Row],[marital_Married]]=1,Table1[[#This Row],[marital_Together]]=1),1,0)</f>
        <v>1</v>
      </c>
      <c r="AN1268" t="str">
        <f>IF(Table1[[#This Row],[Income]]&gt;=70000,"HIGH INCOME","LOW INCOME")</f>
        <v>LOW INCOME</v>
      </c>
      <c r="AO1268" s="1" t="str">
        <f>IF(Table1[[#This Row],[MNT_TOTAL]]&gt;=900,"HIGH VALUE","LOW VALUE")</f>
        <v>LOW VALUE</v>
      </c>
      <c r="AP12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8" s="1"/>
      <c r="AR1268" s="1"/>
    </row>
    <row r="1269" spans="1:44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51</v>
      </c>
      <c r="X1269">
        <v>2545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44</v>
      </c>
      <c r="AJ1269">
        <v>10</v>
      </c>
      <c r="AK1269">
        <v>0</v>
      </c>
      <c r="AL1269">
        <f t="shared" si="19"/>
        <v>78</v>
      </c>
      <c r="AM1269">
        <f>IF(OR(Table1[[#This Row],[marital_Married]]=1,Table1[[#This Row],[marital_Together]]=1),1,0)</f>
        <v>1</v>
      </c>
      <c r="AN1269" t="str">
        <f>IF(Table1[[#This Row],[Income]]&gt;=70000,"HIGH INCOME","LOW INCOME")</f>
        <v>LOW INCOME</v>
      </c>
      <c r="AO1269" s="1" t="str">
        <f>IF(Table1[[#This Row],[MNT_TOTAL]]&gt;=900,"HIGH VALUE","LOW VALUE")</f>
        <v>LOW VALUE</v>
      </c>
      <c r="AP12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69" s="1"/>
      <c r="AR1269" s="1"/>
    </row>
    <row r="1270" spans="1:44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1</v>
      </c>
      <c r="W1270">
        <v>48</v>
      </c>
      <c r="X1270">
        <v>2663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2136</v>
      </c>
      <c r="AJ1270">
        <v>1926</v>
      </c>
      <c r="AK1270">
        <v>3</v>
      </c>
      <c r="AL1270">
        <f t="shared" si="19"/>
        <v>2346</v>
      </c>
      <c r="AM1270">
        <f>IF(OR(Table1[[#This Row],[marital_Married]]=1,Table1[[#This Row],[marital_Together]]=1),1,0)</f>
        <v>1</v>
      </c>
      <c r="AN1270" t="str">
        <f>IF(Table1[[#This Row],[Income]]&gt;=70000,"HIGH INCOME","LOW INCOME")</f>
        <v>HIGH INCOME</v>
      </c>
      <c r="AO1270" s="1" t="str">
        <f>IF(Table1[[#This Row],[MNT_TOTAL]]&gt;=900,"HIGH VALUE","LOW VALUE")</f>
        <v>HIGH VALUE</v>
      </c>
      <c r="AP12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70" s="1"/>
      <c r="AR1270" s="1"/>
    </row>
    <row r="1271" spans="1:44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49</v>
      </c>
      <c r="X1271">
        <v>2705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669</v>
      </c>
      <c r="AJ1271">
        <v>544</v>
      </c>
      <c r="AK1271">
        <v>0</v>
      </c>
      <c r="AL1271">
        <f t="shared" si="19"/>
        <v>794</v>
      </c>
      <c r="AM1271">
        <f>IF(OR(Table1[[#This Row],[marital_Married]]=1,Table1[[#This Row],[marital_Together]]=1),1,0)</f>
        <v>1</v>
      </c>
      <c r="AN1271" t="str">
        <f>IF(Table1[[#This Row],[Income]]&gt;=70000,"HIGH INCOME","LOW INCOME")</f>
        <v>LOW INCOME</v>
      </c>
      <c r="AO1271" s="1" t="str">
        <f>IF(Table1[[#This Row],[MNT_TOTAL]]&gt;=900,"HIGH VALUE","LOW VALUE")</f>
        <v>LOW VALUE</v>
      </c>
      <c r="AP12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1" s="1"/>
      <c r="AR1271" s="1"/>
    </row>
    <row r="1272" spans="1:44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64</v>
      </c>
      <c r="X1272">
        <v>2456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14</v>
      </c>
      <c r="AJ1272">
        <v>11</v>
      </c>
      <c r="AK1272">
        <v>0</v>
      </c>
      <c r="AL1272">
        <f t="shared" si="19"/>
        <v>17</v>
      </c>
      <c r="AM1272">
        <f>IF(OR(Table1[[#This Row],[marital_Married]]=1,Table1[[#This Row],[marital_Together]]=1),1,0)</f>
        <v>1</v>
      </c>
      <c r="AN1272" t="str">
        <f>IF(Table1[[#This Row],[Income]]&gt;=70000,"HIGH INCOME","LOW INCOME")</f>
        <v>LOW INCOME</v>
      </c>
      <c r="AO1272" s="1" t="str">
        <f>IF(Table1[[#This Row],[MNT_TOTAL]]&gt;=900,"HIGH VALUE","LOW VALUE")</f>
        <v>LOW VALUE</v>
      </c>
      <c r="AP12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2" s="1"/>
      <c r="AR1272" s="1"/>
    </row>
    <row r="1273" spans="1:44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49</v>
      </c>
      <c r="X1273">
        <v>2492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25</v>
      </c>
      <c r="AJ1273">
        <v>24</v>
      </c>
      <c r="AK1273">
        <v>0</v>
      </c>
      <c r="AL1273">
        <f t="shared" si="19"/>
        <v>26</v>
      </c>
      <c r="AM1273">
        <f>IF(OR(Table1[[#This Row],[marital_Married]]=1,Table1[[#This Row],[marital_Together]]=1),1,0)</f>
        <v>0</v>
      </c>
      <c r="AN1273" t="str">
        <f>IF(Table1[[#This Row],[Income]]&gt;=70000,"HIGH INCOME","LOW INCOME")</f>
        <v>LOW INCOME</v>
      </c>
      <c r="AO1273" s="1" t="str">
        <f>IF(Table1[[#This Row],[MNT_TOTAL]]&gt;=900,"HIGH VALUE","LOW VALUE")</f>
        <v>LOW VALUE</v>
      </c>
      <c r="AP12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73" s="1"/>
      <c r="AR1273" s="1"/>
    </row>
    <row r="1274" spans="1:44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47</v>
      </c>
      <c r="X1274">
        <v>2262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68</v>
      </c>
      <c r="AJ1274">
        <v>60</v>
      </c>
      <c r="AK1274">
        <v>0</v>
      </c>
      <c r="AL1274">
        <f t="shared" si="19"/>
        <v>76</v>
      </c>
      <c r="AM1274">
        <f>IF(OR(Table1[[#This Row],[marital_Married]]=1,Table1[[#This Row],[marital_Together]]=1),1,0)</f>
        <v>1</v>
      </c>
      <c r="AN1274" t="str">
        <f>IF(Table1[[#This Row],[Income]]&gt;=70000,"HIGH INCOME","LOW INCOME")</f>
        <v>LOW INCOME</v>
      </c>
      <c r="AO1274" s="1" t="str">
        <f>IF(Table1[[#This Row],[MNT_TOTAL]]&gt;=900,"HIGH VALUE","LOW VALUE")</f>
        <v>LOW VALUE</v>
      </c>
      <c r="AP12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4" s="1"/>
      <c r="AR1274" s="1"/>
    </row>
    <row r="1275" spans="1:44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43</v>
      </c>
      <c r="X1275">
        <v>2363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10</v>
      </c>
      <c r="AJ1275">
        <v>5</v>
      </c>
      <c r="AK1275">
        <v>0</v>
      </c>
      <c r="AL1275">
        <f t="shared" si="19"/>
        <v>15</v>
      </c>
      <c r="AM1275">
        <f>IF(OR(Table1[[#This Row],[marital_Married]]=1,Table1[[#This Row],[marital_Together]]=1),1,0)</f>
        <v>0</v>
      </c>
      <c r="AN1275" t="str">
        <f>IF(Table1[[#This Row],[Income]]&gt;=70000,"HIGH INCOME","LOW INCOME")</f>
        <v>LOW INCOME</v>
      </c>
      <c r="AO1275" s="1" t="str">
        <f>IF(Table1[[#This Row],[MNT_TOTAL]]&gt;=900,"HIGH VALUE","LOW VALUE")</f>
        <v>LOW VALUE</v>
      </c>
      <c r="AP12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75" s="1"/>
      <c r="AR1275" s="1"/>
    </row>
    <row r="1276" spans="1:44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57</v>
      </c>
      <c r="X1276">
        <v>2237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61</v>
      </c>
      <c r="AJ1276">
        <v>60</v>
      </c>
      <c r="AK1276">
        <v>0</v>
      </c>
      <c r="AL1276">
        <f t="shared" si="19"/>
        <v>62</v>
      </c>
      <c r="AM1276">
        <f>IF(OR(Table1[[#This Row],[marital_Married]]=1,Table1[[#This Row],[marital_Together]]=1),1,0)</f>
        <v>0</v>
      </c>
      <c r="AN1276" t="str">
        <f>IF(Table1[[#This Row],[Income]]&gt;=70000,"HIGH INCOME","LOW INCOME")</f>
        <v>LOW INCOME</v>
      </c>
      <c r="AO1276" s="1" t="str">
        <f>IF(Table1[[#This Row],[MNT_TOTAL]]&gt;=900,"HIGH VALUE","LOW VALUE")</f>
        <v>LOW VALUE</v>
      </c>
      <c r="AP12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76" s="1"/>
      <c r="AR1276" s="1"/>
    </row>
    <row r="1277" spans="1:44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66</v>
      </c>
      <c r="X1277">
        <v>2251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150</v>
      </c>
      <c r="AJ1277">
        <v>102</v>
      </c>
      <c r="AK1277">
        <v>0</v>
      </c>
      <c r="AL1277">
        <f t="shared" si="19"/>
        <v>198</v>
      </c>
      <c r="AM1277">
        <f>IF(OR(Table1[[#This Row],[marital_Married]]=1,Table1[[#This Row],[marital_Together]]=1),1,0)</f>
        <v>1</v>
      </c>
      <c r="AN1277" t="str">
        <f>IF(Table1[[#This Row],[Income]]&gt;=70000,"HIGH INCOME","LOW INCOME")</f>
        <v>LOW INCOME</v>
      </c>
      <c r="AO1277" s="1" t="str">
        <f>IF(Table1[[#This Row],[MNT_TOTAL]]&gt;=900,"HIGH VALUE","LOW VALUE")</f>
        <v>LOW VALUE</v>
      </c>
      <c r="AP12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7" s="1"/>
      <c r="AR1277" s="1"/>
    </row>
    <row r="1278" spans="1:44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42</v>
      </c>
      <c r="X1278">
        <v>2406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39</v>
      </c>
      <c r="AJ1278">
        <v>29</v>
      </c>
      <c r="AK1278">
        <v>0</v>
      </c>
      <c r="AL1278">
        <f t="shared" si="19"/>
        <v>49</v>
      </c>
      <c r="AM1278">
        <f>IF(OR(Table1[[#This Row],[marital_Married]]=1,Table1[[#This Row],[marital_Together]]=1),1,0)</f>
        <v>1</v>
      </c>
      <c r="AN1278" t="str">
        <f>IF(Table1[[#This Row],[Income]]&gt;=70000,"HIGH INCOME","LOW INCOME")</f>
        <v>LOW INCOME</v>
      </c>
      <c r="AO1278" s="1" t="str">
        <f>IF(Table1[[#This Row],[MNT_TOTAL]]&gt;=900,"HIGH VALUE","LOW VALUE")</f>
        <v>LOW VALUE</v>
      </c>
      <c r="AP12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8" s="1"/>
      <c r="AR1278" s="1"/>
    </row>
    <row r="1279" spans="1:44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2529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724</v>
      </c>
      <c r="AJ1279">
        <v>646</v>
      </c>
      <c r="AK1279">
        <v>1</v>
      </c>
      <c r="AL1279">
        <f t="shared" si="19"/>
        <v>802</v>
      </c>
      <c r="AM1279">
        <f>IF(OR(Table1[[#This Row],[marital_Married]]=1,Table1[[#This Row],[marital_Together]]=1),1,0)</f>
        <v>1</v>
      </c>
      <c r="AN1279" t="str">
        <f>IF(Table1[[#This Row],[Income]]&gt;=70000,"HIGH INCOME","LOW INCOME")</f>
        <v>LOW INCOME</v>
      </c>
      <c r="AO1279" s="1" t="str">
        <f>IF(Table1[[#This Row],[MNT_TOTAL]]&gt;=900,"HIGH VALUE","LOW VALUE")</f>
        <v>LOW VALUE</v>
      </c>
      <c r="AP12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79" s="1"/>
      <c r="AR1279" s="1"/>
    </row>
    <row r="1280" spans="1:44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74</v>
      </c>
      <c r="X1280">
        <v>2289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1641</v>
      </c>
      <c r="AJ1280">
        <v>1546</v>
      </c>
      <c r="AK1280">
        <v>1</v>
      </c>
      <c r="AL1280">
        <f t="shared" si="19"/>
        <v>1736</v>
      </c>
      <c r="AM1280">
        <f>IF(OR(Table1[[#This Row],[marital_Married]]=1,Table1[[#This Row],[marital_Together]]=1),1,0)</f>
        <v>1</v>
      </c>
      <c r="AN1280" t="str">
        <f>IF(Table1[[#This Row],[Income]]&gt;=70000,"HIGH INCOME","LOW INCOME")</f>
        <v>HIGH INCOME</v>
      </c>
      <c r="AO1280" s="1" t="str">
        <f>IF(Table1[[#This Row],[MNT_TOTAL]]&gt;=900,"HIGH VALUE","LOW VALUE")</f>
        <v>HIGH VALUE</v>
      </c>
      <c r="AP12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80" s="1"/>
      <c r="AR1280" s="1"/>
    </row>
    <row r="1281" spans="1:44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42</v>
      </c>
      <c r="X1281">
        <v>2708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32</v>
      </c>
      <c r="AJ1281">
        <v>7</v>
      </c>
      <c r="AK1281">
        <v>0</v>
      </c>
      <c r="AL1281">
        <f t="shared" si="19"/>
        <v>57</v>
      </c>
      <c r="AM1281">
        <f>IF(OR(Table1[[#This Row],[marital_Married]]=1,Table1[[#This Row],[marital_Together]]=1),1,0)</f>
        <v>0</v>
      </c>
      <c r="AN1281" t="str">
        <f>IF(Table1[[#This Row],[Income]]&gt;=70000,"HIGH INCOME","LOW INCOME")</f>
        <v>LOW INCOME</v>
      </c>
      <c r="AO1281" s="1" t="str">
        <f>IF(Table1[[#This Row],[MNT_TOTAL]]&gt;=900,"HIGH VALUE","LOW VALUE")</f>
        <v>LOW VALUE</v>
      </c>
      <c r="AP12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81" s="1"/>
      <c r="AR1281" s="1"/>
    </row>
    <row r="1282" spans="1:44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1</v>
      </c>
      <c r="W1282">
        <v>67</v>
      </c>
      <c r="X1282">
        <v>2641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2130</v>
      </c>
      <c r="AJ1282">
        <v>1958</v>
      </c>
      <c r="AK1282">
        <v>3</v>
      </c>
      <c r="AL1282">
        <f t="shared" ref="AL1282:AL1345" si="20">SUM(E1282:J1282)</f>
        <v>2302</v>
      </c>
      <c r="AM1282">
        <f>IF(OR(Table1[[#This Row],[marital_Married]]=1,Table1[[#This Row],[marital_Together]]=1),1,0)</f>
        <v>1</v>
      </c>
      <c r="AN1282" t="str">
        <f>IF(Table1[[#This Row],[Income]]&gt;=70000,"HIGH INCOME","LOW INCOME")</f>
        <v>HIGH INCOME</v>
      </c>
      <c r="AO1282" s="1" t="str">
        <f>IF(Table1[[#This Row],[MNT_TOTAL]]&gt;=900,"HIGH VALUE","LOW VALUE")</f>
        <v>HIGH VALUE</v>
      </c>
      <c r="AP12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82" s="1"/>
      <c r="AR1282" s="1"/>
    </row>
    <row r="1283" spans="1:44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35</v>
      </c>
      <c r="X1283">
        <v>2290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27</v>
      </c>
      <c r="AJ1283">
        <v>17</v>
      </c>
      <c r="AK1283">
        <v>0</v>
      </c>
      <c r="AL1283">
        <f t="shared" si="20"/>
        <v>37</v>
      </c>
      <c r="AM1283">
        <f>IF(OR(Table1[[#This Row],[marital_Married]]=1,Table1[[#This Row],[marital_Together]]=1),1,0)</f>
        <v>1</v>
      </c>
      <c r="AN1283" t="str">
        <f>IF(Table1[[#This Row],[Income]]&gt;=70000,"HIGH INCOME","LOW INCOME")</f>
        <v>LOW INCOME</v>
      </c>
      <c r="AO1283" s="1" t="str">
        <f>IF(Table1[[#This Row],[MNT_TOTAL]]&gt;=900,"HIGH VALUE","LOW VALUE")</f>
        <v>LOW VALUE</v>
      </c>
      <c r="AP12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83" s="1"/>
      <c r="AR1283" s="1"/>
    </row>
    <row r="1284" spans="1:44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50</v>
      </c>
      <c r="X1284">
        <v>2648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261</v>
      </c>
      <c r="AJ1284">
        <v>212</v>
      </c>
      <c r="AK1284">
        <v>0</v>
      </c>
      <c r="AL1284">
        <f t="shared" si="20"/>
        <v>310</v>
      </c>
      <c r="AM1284">
        <f>IF(OR(Table1[[#This Row],[marital_Married]]=1,Table1[[#This Row],[marital_Together]]=1),1,0)</f>
        <v>0</v>
      </c>
      <c r="AN1284" t="str">
        <f>IF(Table1[[#This Row],[Income]]&gt;=70000,"HIGH INCOME","LOW INCOME")</f>
        <v>LOW INCOME</v>
      </c>
      <c r="AO1284" s="1" t="str">
        <f>IF(Table1[[#This Row],[MNT_TOTAL]]&gt;=900,"HIGH VALUE","LOW VALUE")</f>
        <v>LOW VALUE</v>
      </c>
      <c r="AP12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84" s="1"/>
      <c r="AR1284" s="1"/>
    </row>
    <row r="1285" spans="1:44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41</v>
      </c>
      <c r="X1285">
        <v>2764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1233</v>
      </c>
      <c r="AJ1285">
        <v>1161</v>
      </c>
      <c r="AK1285">
        <v>1</v>
      </c>
      <c r="AL1285">
        <f t="shared" si="20"/>
        <v>1305</v>
      </c>
      <c r="AM1285">
        <f>IF(OR(Table1[[#This Row],[marital_Married]]=1,Table1[[#This Row],[marital_Together]]=1),1,0)</f>
        <v>1</v>
      </c>
      <c r="AN1285" t="str">
        <f>IF(Table1[[#This Row],[Income]]&gt;=70000,"HIGH INCOME","LOW INCOME")</f>
        <v>HIGH INCOME</v>
      </c>
      <c r="AO1285" s="1" t="str">
        <f>IF(Table1[[#This Row],[MNT_TOTAL]]&gt;=900,"HIGH VALUE","LOW VALUE")</f>
        <v>HIGH VALUE</v>
      </c>
      <c r="AP12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85" s="1"/>
      <c r="AR1285" s="1"/>
    </row>
    <row r="1286" spans="1:44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2525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778</v>
      </c>
      <c r="AJ1286">
        <v>724</v>
      </c>
      <c r="AK1286">
        <v>0</v>
      </c>
      <c r="AL1286">
        <f t="shared" si="20"/>
        <v>832</v>
      </c>
      <c r="AM1286">
        <f>IF(OR(Table1[[#This Row],[marital_Married]]=1,Table1[[#This Row],[marital_Together]]=1),1,0)</f>
        <v>1</v>
      </c>
      <c r="AN1286" t="str">
        <f>IF(Table1[[#This Row],[Income]]&gt;=70000,"HIGH INCOME","LOW INCOME")</f>
        <v>LOW INCOME</v>
      </c>
      <c r="AO1286" s="1" t="str">
        <f>IF(Table1[[#This Row],[MNT_TOTAL]]&gt;=900,"HIGH VALUE","LOW VALUE")</f>
        <v>LOW VALUE</v>
      </c>
      <c r="AP12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86" s="1"/>
      <c r="AR1286" s="1"/>
    </row>
    <row r="1287" spans="1:44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44</v>
      </c>
      <c r="X1287">
        <v>2611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337</v>
      </c>
      <c r="AJ1287">
        <v>273</v>
      </c>
      <c r="AK1287">
        <v>0</v>
      </c>
      <c r="AL1287">
        <f t="shared" si="20"/>
        <v>401</v>
      </c>
      <c r="AM1287">
        <f>IF(OR(Table1[[#This Row],[marital_Married]]=1,Table1[[#This Row],[marital_Together]]=1),1,0)</f>
        <v>1</v>
      </c>
      <c r="AN1287" t="str">
        <f>IF(Table1[[#This Row],[Income]]&gt;=70000,"HIGH INCOME","LOW INCOME")</f>
        <v>LOW INCOME</v>
      </c>
      <c r="AO1287" s="1" t="str">
        <f>IF(Table1[[#This Row],[MNT_TOTAL]]&gt;=900,"HIGH VALUE","LOW VALUE")</f>
        <v>LOW VALUE</v>
      </c>
      <c r="AP12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87" s="1"/>
      <c r="AR1287" s="1"/>
    </row>
    <row r="1288" spans="1:44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55</v>
      </c>
      <c r="X1288">
        <v>2196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1487</v>
      </c>
      <c r="AJ1288">
        <v>1473</v>
      </c>
      <c r="AK1288">
        <v>2</v>
      </c>
      <c r="AL1288">
        <f t="shared" si="20"/>
        <v>1501</v>
      </c>
      <c r="AM1288">
        <f>IF(OR(Table1[[#This Row],[marital_Married]]=1,Table1[[#This Row],[marital_Together]]=1),1,0)</f>
        <v>1</v>
      </c>
      <c r="AN1288" t="str">
        <f>IF(Table1[[#This Row],[Income]]&gt;=70000,"HIGH INCOME","LOW INCOME")</f>
        <v>HIGH INCOME</v>
      </c>
      <c r="AO1288" s="1" t="str">
        <f>IF(Table1[[#This Row],[MNT_TOTAL]]&gt;=900,"HIGH VALUE","LOW VALUE")</f>
        <v>HIGH VALUE</v>
      </c>
      <c r="AP12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288" s="1"/>
      <c r="AR1288" s="1"/>
    </row>
    <row r="1289" spans="1:44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1</v>
      </c>
      <c r="W1289">
        <v>38</v>
      </c>
      <c r="X1289">
        <v>2325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1143</v>
      </c>
      <c r="AJ1289">
        <v>1097</v>
      </c>
      <c r="AK1289">
        <v>4</v>
      </c>
      <c r="AL1289">
        <f t="shared" si="20"/>
        <v>1189</v>
      </c>
      <c r="AM1289">
        <f>IF(OR(Table1[[#This Row],[marital_Married]]=1,Table1[[#This Row],[marital_Together]]=1),1,0)</f>
        <v>1</v>
      </c>
      <c r="AN1289" t="str">
        <f>IF(Table1[[#This Row],[Income]]&gt;=70000,"HIGH INCOME","LOW INCOME")</f>
        <v>LOW INCOME</v>
      </c>
      <c r="AO1289" s="1" t="str">
        <f>IF(Table1[[#This Row],[MNT_TOTAL]]&gt;=900,"HIGH VALUE","LOW VALUE")</f>
        <v>HIGH VALUE</v>
      </c>
      <c r="AP12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89" s="1"/>
      <c r="AR1289" s="1"/>
    </row>
    <row r="1290" spans="1:44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48</v>
      </c>
      <c r="X1290">
        <v>2501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1040</v>
      </c>
      <c r="AJ1290">
        <v>886</v>
      </c>
      <c r="AK1290">
        <v>0</v>
      </c>
      <c r="AL1290">
        <f t="shared" si="20"/>
        <v>1194</v>
      </c>
      <c r="AM1290">
        <f>IF(OR(Table1[[#This Row],[marital_Married]]=1,Table1[[#This Row],[marital_Together]]=1),1,0)</f>
        <v>1</v>
      </c>
      <c r="AN1290" t="str">
        <f>IF(Table1[[#This Row],[Income]]&gt;=70000,"HIGH INCOME","LOW INCOME")</f>
        <v>LOW INCOME</v>
      </c>
      <c r="AO1290" s="1" t="str">
        <f>IF(Table1[[#This Row],[MNT_TOTAL]]&gt;=900,"HIGH VALUE","LOW VALUE")</f>
        <v>HIGH VALUE</v>
      </c>
      <c r="AP12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90" s="1"/>
      <c r="AR1290" s="1"/>
    </row>
    <row r="1291" spans="1:44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60</v>
      </c>
      <c r="X1291">
        <v>2308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650</v>
      </c>
      <c r="AJ1291">
        <v>644</v>
      </c>
      <c r="AK1291">
        <v>0</v>
      </c>
      <c r="AL1291">
        <f t="shared" si="20"/>
        <v>656</v>
      </c>
      <c r="AM1291">
        <f>IF(OR(Table1[[#This Row],[marital_Married]]=1,Table1[[#This Row],[marital_Together]]=1),1,0)</f>
        <v>1</v>
      </c>
      <c r="AN1291" t="str">
        <f>IF(Table1[[#This Row],[Income]]&gt;=70000,"HIGH INCOME","LOW INCOME")</f>
        <v>LOW INCOME</v>
      </c>
      <c r="AO1291" s="1" t="str">
        <f>IF(Table1[[#This Row],[MNT_TOTAL]]&gt;=900,"HIGH VALUE","LOW VALUE")</f>
        <v>LOW VALUE</v>
      </c>
      <c r="AP12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1" s="1"/>
      <c r="AR1291" s="1"/>
    </row>
    <row r="1292" spans="1:44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64</v>
      </c>
      <c r="X1292">
        <v>2742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1497</v>
      </c>
      <c r="AJ1292">
        <v>1454</v>
      </c>
      <c r="AK1292">
        <v>0</v>
      </c>
      <c r="AL1292">
        <f t="shared" si="20"/>
        <v>1540</v>
      </c>
      <c r="AM1292">
        <f>IF(OR(Table1[[#This Row],[marital_Married]]=1,Table1[[#This Row],[marital_Together]]=1),1,0)</f>
        <v>0</v>
      </c>
      <c r="AN1292" t="str">
        <f>IF(Table1[[#This Row],[Income]]&gt;=70000,"HIGH INCOME","LOW INCOME")</f>
        <v>LOW INCOME</v>
      </c>
      <c r="AO1292" s="1" t="str">
        <f>IF(Table1[[#This Row],[MNT_TOTAL]]&gt;=900,"HIGH VALUE","LOW VALUE")</f>
        <v>HIGH VALUE</v>
      </c>
      <c r="AP12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92" s="1"/>
      <c r="AR1292" s="1"/>
    </row>
    <row r="1293" spans="1:44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55</v>
      </c>
      <c r="X1293">
        <v>2466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297</v>
      </c>
      <c r="AJ1293">
        <v>283</v>
      </c>
      <c r="AK1293">
        <v>0</v>
      </c>
      <c r="AL1293">
        <f t="shared" si="20"/>
        <v>311</v>
      </c>
      <c r="AM1293">
        <f>IF(OR(Table1[[#This Row],[marital_Married]]=1,Table1[[#This Row],[marital_Together]]=1),1,0)</f>
        <v>1</v>
      </c>
      <c r="AN1293" t="str">
        <f>IF(Table1[[#This Row],[Income]]&gt;=70000,"HIGH INCOME","LOW INCOME")</f>
        <v>LOW INCOME</v>
      </c>
      <c r="AO1293" s="1" t="str">
        <f>IF(Table1[[#This Row],[MNT_TOTAL]]&gt;=900,"HIGH VALUE","LOW VALUE")</f>
        <v>LOW VALUE</v>
      </c>
      <c r="AP12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3" s="1"/>
      <c r="AR1293" s="1"/>
    </row>
    <row r="1294" spans="1:44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65</v>
      </c>
      <c r="X1294">
        <v>2394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783</v>
      </c>
      <c r="AJ1294">
        <v>746</v>
      </c>
      <c r="AK1294">
        <v>0</v>
      </c>
      <c r="AL1294">
        <f t="shared" si="20"/>
        <v>820</v>
      </c>
      <c r="AM1294">
        <f>IF(OR(Table1[[#This Row],[marital_Married]]=1,Table1[[#This Row],[marital_Together]]=1),1,0)</f>
        <v>1</v>
      </c>
      <c r="AN1294" t="str">
        <f>IF(Table1[[#This Row],[Income]]&gt;=70000,"HIGH INCOME","LOW INCOME")</f>
        <v>HIGH INCOME</v>
      </c>
      <c r="AO1294" s="1" t="str">
        <f>IF(Table1[[#This Row],[MNT_TOTAL]]&gt;=900,"HIGH VALUE","LOW VALUE")</f>
        <v>LOW VALUE</v>
      </c>
      <c r="AP12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94" s="1"/>
      <c r="AR1294" s="1"/>
    </row>
    <row r="1295" spans="1:44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31</v>
      </c>
      <c r="X1295">
        <v>2328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262</v>
      </c>
      <c r="AJ1295">
        <v>250</v>
      </c>
      <c r="AK1295">
        <v>0</v>
      </c>
      <c r="AL1295">
        <f t="shared" si="20"/>
        <v>274</v>
      </c>
      <c r="AM1295">
        <f>IF(OR(Table1[[#This Row],[marital_Married]]=1,Table1[[#This Row],[marital_Together]]=1),1,0)</f>
        <v>1</v>
      </c>
      <c r="AN1295" t="str">
        <f>IF(Table1[[#This Row],[Income]]&gt;=70000,"HIGH INCOME","LOW INCOME")</f>
        <v>LOW INCOME</v>
      </c>
      <c r="AO1295" s="1" t="str">
        <f>IF(Table1[[#This Row],[MNT_TOTAL]]&gt;=900,"HIGH VALUE","LOW VALUE")</f>
        <v>LOW VALUE</v>
      </c>
      <c r="AP12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5" s="1"/>
      <c r="AR1295" s="1"/>
    </row>
    <row r="1296" spans="1:44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58</v>
      </c>
      <c r="X1296">
        <v>2594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54</v>
      </c>
      <c r="AJ1296">
        <v>51</v>
      </c>
      <c r="AK1296">
        <v>0</v>
      </c>
      <c r="AL1296">
        <f t="shared" si="20"/>
        <v>57</v>
      </c>
      <c r="AM1296">
        <f>IF(OR(Table1[[#This Row],[marital_Married]]=1,Table1[[#This Row],[marital_Together]]=1),1,0)</f>
        <v>0</v>
      </c>
      <c r="AN1296" t="str">
        <f>IF(Table1[[#This Row],[Income]]&gt;=70000,"HIGH INCOME","LOW INCOME")</f>
        <v>LOW INCOME</v>
      </c>
      <c r="AO1296" s="1" t="str">
        <f>IF(Table1[[#This Row],[MNT_TOTAL]]&gt;=900,"HIGH VALUE","LOW VALUE")</f>
        <v>LOW VALUE</v>
      </c>
      <c r="AP12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296" s="1"/>
      <c r="AR1296" s="1"/>
    </row>
    <row r="1297" spans="1:44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55</v>
      </c>
      <c r="X1297">
        <v>2430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358</v>
      </c>
      <c r="AJ1297">
        <v>268</v>
      </c>
      <c r="AK1297">
        <v>0</v>
      </c>
      <c r="AL1297">
        <f t="shared" si="20"/>
        <v>448</v>
      </c>
      <c r="AM1297">
        <f>IF(OR(Table1[[#This Row],[marital_Married]]=1,Table1[[#This Row],[marital_Together]]=1),1,0)</f>
        <v>1</v>
      </c>
      <c r="AN1297" t="str">
        <f>IF(Table1[[#This Row],[Income]]&gt;=70000,"HIGH INCOME","LOW INCOME")</f>
        <v>LOW INCOME</v>
      </c>
      <c r="AO1297" s="1" t="str">
        <f>IF(Table1[[#This Row],[MNT_TOTAL]]&gt;=900,"HIGH VALUE","LOW VALUE")</f>
        <v>LOW VALUE</v>
      </c>
      <c r="AP12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7" s="1"/>
      <c r="AR1297" s="1"/>
    </row>
    <row r="1298" spans="1:44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47</v>
      </c>
      <c r="X1298">
        <v>2178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39</v>
      </c>
      <c r="AJ1298">
        <v>34</v>
      </c>
      <c r="AK1298">
        <v>0</v>
      </c>
      <c r="AL1298">
        <f t="shared" si="20"/>
        <v>44</v>
      </c>
      <c r="AM1298">
        <f>IF(OR(Table1[[#This Row],[marital_Married]]=1,Table1[[#This Row],[marital_Together]]=1),1,0)</f>
        <v>1</v>
      </c>
      <c r="AN1298" t="str">
        <f>IF(Table1[[#This Row],[Income]]&gt;=70000,"HIGH INCOME","LOW INCOME")</f>
        <v>LOW INCOME</v>
      </c>
      <c r="AO1298" s="1" t="str">
        <f>IF(Table1[[#This Row],[MNT_TOTAL]]&gt;=900,"HIGH VALUE","LOW VALUE")</f>
        <v>LOW VALUE</v>
      </c>
      <c r="AP12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8" s="1"/>
      <c r="AR1298" s="1"/>
    </row>
    <row r="1299" spans="1:44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48</v>
      </c>
      <c r="X1299">
        <v>2494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75</v>
      </c>
      <c r="AJ1299">
        <v>48</v>
      </c>
      <c r="AK1299">
        <v>0</v>
      </c>
      <c r="AL1299">
        <f t="shared" si="20"/>
        <v>102</v>
      </c>
      <c r="AM1299">
        <f>IF(OR(Table1[[#This Row],[marital_Married]]=1,Table1[[#This Row],[marital_Together]]=1),1,0)</f>
        <v>1</v>
      </c>
      <c r="AN1299" t="str">
        <f>IF(Table1[[#This Row],[Income]]&gt;=70000,"HIGH INCOME","LOW INCOME")</f>
        <v>LOW INCOME</v>
      </c>
      <c r="AO1299" s="1" t="str">
        <f>IF(Table1[[#This Row],[MNT_TOTAL]]&gt;=900,"HIGH VALUE","LOW VALUE")</f>
        <v>LOW VALUE</v>
      </c>
      <c r="AP12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299" s="1"/>
      <c r="AR1299" s="1"/>
    </row>
    <row r="1300" spans="1:44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36</v>
      </c>
      <c r="X1300">
        <v>2307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41</v>
      </c>
      <c r="AJ1300">
        <v>21</v>
      </c>
      <c r="AK1300">
        <v>0</v>
      </c>
      <c r="AL1300">
        <f t="shared" si="20"/>
        <v>61</v>
      </c>
      <c r="AM1300">
        <f>IF(OR(Table1[[#This Row],[marital_Married]]=1,Table1[[#This Row],[marital_Together]]=1),1,0)</f>
        <v>1</v>
      </c>
      <c r="AN1300" t="str">
        <f>IF(Table1[[#This Row],[Income]]&gt;=70000,"HIGH INCOME","LOW INCOME")</f>
        <v>LOW INCOME</v>
      </c>
      <c r="AO1300" s="1" t="str">
        <f>IF(Table1[[#This Row],[MNT_TOTAL]]&gt;=900,"HIGH VALUE","LOW VALUE")</f>
        <v>LOW VALUE</v>
      </c>
      <c r="AP13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00" s="1"/>
      <c r="AR1300" s="1"/>
    </row>
    <row r="1301" spans="1:44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60</v>
      </c>
      <c r="X1301">
        <v>2592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1505</v>
      </c>
      <c r="AJ1301">
        <v>1367</v>
      </c>
      <c r="AK1301">
        <v>0</v>
      </c>
      <c r="AL1301">
        <f t="shared" si="20"/>
        <v>1643</v>
      </c>
      <c r="AM1301">
        <f>IF(OR(Table1[[#This Row],[marital_Married]]=1,Table1[[#This Row],[marital_Together]]=1),1,0)</f>
        <v>1</v>
      </c>
      <c r="AN1301" t="str">
        <f>IF(Table1[[#This Row],[Income]]&gt;=70000,"HIGH INCOME","LOW INCOME")</f>
        <v>HIGH INCOME</v>
      </c>
      <c r="AO1301" s="1" t="str">
        <f>IF(Table1[[#This Row],[MNT_TOTAL]]&gt;=900,"HIGH VALUE","LOW VALUE")</f>
        <v>HIGH VALUE</v>
      </c>
      <c r="AP13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01" s="1"/>
      <c r="AR1301" s="1"/>
    </row>
    <row r="1302" spans="1:44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62</v>
      </c>
      <c r="X1302">
        <v>2547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309</v>
      </c>
      <c r="AJ1302">
        <v>221</v>
      </c>
      <c r="AK1302">
        <v>0</v>
      </c>
      <c r="AL1302">
        <f t="shared" si="20"/>
        <v>397</v>
      </c>
      <c r="AM1302">
        <f>IF(OR(Table1[[#This Row],[marital_Married]]=1,Table1[[#This Row],[marital_Together]]=1),1,0)</f>
        <v>1</v>
      </c>
      <c r="AN1302" t="str">
        <f>IF(Table1[[#This Row],[Income]]&gt;=70000,"HIGH INCOME","LOW INCOME")</f>
        <v>LOW INCOME</v>
      </c>
      <c r="AO1302" s="1" t="str">
        <f>IF(Table1[[#This Row],[MNT_TOTAL]]&gt;=900,"HIGH VALUE","LOW VALUE")</f>
        <v>LOW VALUE</v>
      </c>
      <c r="AP13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02" s="1"/>
      <c r="AR1302" s="1"/>
    </row>
    <row r="1303" spans="1:44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52</v>
      </c>
      <c r="X1303">
        <v>2332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987</v>
      </c>
      <c r="AJ1303">
        <v>853</v>
      </c>
      <c r="AK1303">
        <v>1</v>
      </c>
      <c r="AL1303">
        <f t="shared" si="20"/>
        <v>1121</v>
      </c>
      <c r="AM1303">
        <f>IF(OR(Table1[[#This Row],[marital_Married]]=1,Table1[[#This Row],[marital_Together]]=1),1,0)</f>
        <v>1</v>
      </c>
      <c r="AN1303" t="str">
        <f>IF(Table1[[#This Row],[Income]]&gt;=70000,"HIGH INCOME","LOW INCOME")</f>
        <v>HIGH INCOME</v>
      </c>
      <c r="AO1303" s="1" t="str">
        <f>IF(Table1[[#This Row],[MNT_TOTAL]]&gt;=900,"HIGH VALUE","LOW VALUE")</f>
        <v>HIGH VALUE</v>
      </c>
      <c r="AP13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03" s="1"/>
      <c r="AR1303" s="1"/>
    </row>
    <row r="1304" spans="1:44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43</v>
      </c>
      <c r="X1304">
        <v>2823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297</v>
      </c>
      <c r="AJ1304">
        <v>121</v>
      </c>
      <c r="AK1304">
        <v>1</v>
      </c>
      <c r="AL1304">
        <f t="shared" si="20"/>
        <v>473</v>
      </c>
      <c r="AM1304">
        <f>IF(OR(Table1[[#This Row],[marital_Married]]=1,Table1[[#This Row],[marital_Together]]=1),1,0)</f>
        <v>0</v>
      </c>
      <c r="AN1304" t="str">
        <f>IF(Table1[[#This Row],[Income]]&gt;=70000,"HIGH INCOME","LOW INCOME")</f>
        <v>LOW INCOME</v>
      </c>
      <c r="AO1304" s="1" t="str">
        <f>IF(Table1[[#This Row],[MNT_TOTAL]]&gt;=900,"HIGH VALUE","LOW VALUE")</f>
        <v>LOW VALUE</v>
      </c>
      <c r="AP13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04" s="1"/>
      <c r="AR1304" s="1"/>
    </row>
    <row r="1305" spans="1:44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46</v>
      </c>
      <c r="X1305">
        <v>2251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46</v>
      </c>
      <c r="AJ1305">
        <v>42</v>
      </c>
      <c r="AK1305">
        <v>0</v>
      </c>
      <c r="AL1305">
        <f t="shared" si="20"/>
        <v>50</v>
      </c>
      <c r="AM1305">
        <f>IF(OR(Table1[[#This Row],[marital_Married]]=1,Table1[[#This Row],[marital_Together]]=1),1,0)</f>
        <v>1</v>
      </c>
      <c r="AN1305" t="str">
        <f>IF(Table1[[#This Row],[Income]]&gt;=70000,"HIGH INCOME","LOW INCOME")</f>
        <v>LOW INCOME</v>
      </c>
      <c r="AO1305" s="1" t="str">
        <f>IF(Table1[[#This Row],[MNT_TOTAL]]&gt;=900,"HIGH VALUE","LOW VALUE")</f>
        <v>LOW VALUE</v>
      </c>
      <c r="AP13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05" s="1"/>
      <c r="AR1305" s="1"/>
    </row>
    <row r="1306" spans="1:44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58</v>
      </c>
      <c r="X1306">
        <v>2659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1473</v>
      </c>
      <c r="AJ1306">
        <v>1268</v>
      </c>
      <c r="AK1306">
        <v>0</v>
      </c>
      <c r="AL1306">
        <f t="shared" si="20"/>
        <v>1678</v>
      </c>
      <c r="AM1306">
        <f>IF(OR(Table1[[#This Row],[marital_Married]]=1,Table1[[#This Row],[marital_Together]]=1),1,0)</f>
        <v>1</v>
      </c>
      <c r="AN1306" t="str">
        <f>IF(Table1[[#This Row],[Income]]&gt;=70000,"HIGH INCOME","LOW INCOME")</f>
        <v>HIGH INCOME</v>
      </c>
      <c r="AO1306" s="1" t="str">
        <f>IF(Table1[[#This Row],[MNT_TOTAL]]&gt;=900,"HIGH VALUE","LOW VALUE")</f>
        <v>HIGH VALUE</v>
      </c>
      <c r="AP13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06" s="1"/>
      <c r="AR1306" s="1"/>
    </row>
    <row r="1307" spans="1:44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38</v>
      </c>
      <c r="X1307">
        <v>2231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51</v>
      </c>
      <c r="AJ1307">
        <v>44</v>
      </c>
      <c r="AK1307">
        <v>0</v>
      </c>
      <c r="AL1307">
        <f t="shared" si="20"/>
        <v>58</v>
      </c>
      <c r="AM1307">
        <f>IF(OR(Table1[[#This Row],[marital_Married]]=1,Table1[[#This Row],[marital_Together]]=1),1,0)</f>
        <v>1</v>
      </c>
      <c r="AN1307" t="str">
        <f>IF(Table1[[#This Row],[Income]]&gt;=70000,"HIGH INCOME","LOW INCOME")</f>
        <v>LOW INCOME</v>
      </c>
      <c r="AO1307" s="1" t="str">
        <f>IF(Table1[[#This Row],[MNT_TOTAL]]&gt;=900,"HIGH VALUE","LOW VALUE")</f>
        <v>LOW VALUE</v>
      </c>
      <c r="AP13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07" s="1"/>
      <c r="AR1307" s="1"/>
    </row>
    <row r="1308" spans="1:44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45</v>
      </c>
      <c r="X1308">
        <v>2436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152</v>
      </c>
      <c r="AJ1308">
        <v>134</v>
      </c>
      <c r="AK1308">
        <v>0</v>
      </c>
      <c r="AL1308">
        <f t="shared" si="20"/>
        <v>170</v>
      </c>
      <c r="AM1308">
        <f>IF(OR(Table1[[#This Row],[marital_Married]]=1,Table1[[#This Row],[marital_Together]]=1),1,0)</f>
        <v>1</v>
      </c>
      <c r="AN1308" t="str">
        <f>IF(Table1[[#This Row],[Income]]&gt;=70000,"HIGH INCOME","LOW INCOME")</f>
        <v>LOW INCOME</v>
      </c>
      <c r="AO1308" s="1" t="str">
        <f>IF(Table1[[#This Row],[MNT_TOTAL]]&gt;=900,"HIGH VALUE","LOW VALUE")</f>
        <v>LOW VALUE</v>
      </c>
      <c r="AP13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08" s="1"/>
      <c r="AR1308" s="1"/>
    </row>
    <row r="1309" spans="1:44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38</v>
      </c>
      <c r="X1309">
        <v>2358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111</v>
      </c>
      <c r="AJ1309">
        <v>-151</v>
      </c>
      <c r="AK1309">
        <v>0</v>
      </c>
      <c r="AL1309">
        <f t="shared" si="20"/>
        <v>373</v>
      </c>
      <c r="AM1309">
        <f>IF(OR(Table1[[#This Row],[marital_Married]]=1,Table1[[#This Row],[marital_Together]]=1),1,0)</f>
        <v>0</v>
      </c>
      <c r="AN1309" t="str">
        <f>IF(Table1[[#This Row],[Income]]&gt;=70000,"HIGH INCOME","LOW INCOME")</f>
        <v>LOW INCOME</v>
      </c>
      <c r="AO1309" s="1" t="str">
        <f>IF(Table1[[#This Row],[MNT_TOTAL]]&gt;=900,"HIGH VALUE","LOW VALUE")</f>
        <v>LOW VALUE</v>
      </c>
      <c r="AP13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09" s="1"/>
      <c r="AR1309" s="1"/>
    </row>
    <row r="1310" spans="1:44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75</v>
      </c>
      <c r="X1310">
        <v>2383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1099</v>
      </c>
      <c r="AJ1310">
        <v>1002</v>
      </c>
      <c r="AK1310">
        <v>1</v>
      </c>
      <c r="AL1310">
        <f t="shared" si="20"/>
        <v>1196</v>
      </c>
      <c r="AM1310">
        <f>IF(OR(Table1[[#This Row],[marital_Married]]=1,Table1[[#This Row],[marital_Together]]=1),1,0)</f>
        <v>1</v>
      </c>
      <c r="AN1310" t="str">
        <f>IF(Table1[[#This Row],[Income]]&gt;=70000,"HIGH INCOME","LOW INCOME")</f>
        <v>HIGH INCOME</v>
      </c>
      <c r="AO1310" s="1" t="str">
        <f>IF(Table1[[#This Row],[MNT_TOTAL]]&gt;=900,"HIGH VALUE","LOW VALUE")</f>
        <v>HIGH VALUE</v>
      </c>
      <c r="AP13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10" s="1"/>
      <c r="AR1310" s="1"/>
    </row>
    <row r="1311" spans="1:44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41</v>
      </c>
      <c r="X1311">
        <v>2273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55</v>
      </c>
      <c r="AJ1311">
        <v>9</v>
      </c>
      <c r="AK1311">
        <v>0</v>
      </c>
      <c r="AL1311">
        <f t="shared" si="20"/>
        <v>101</v>
      </c>
      <c r="AM1311">
        <f>IF(OR(Table1[[#This Row],[marital_Married]]=1,Table1[[#This Row],[marital_Together]]=1),1,0)</f>
        <v>1</v>
      </c>
      <c r="AN1311" t="str">
        <f>IF(Table1[[#This Row],[Income]]&gt;=70000,"HIGH INCOME","LOW INCOME")</f>
        <v>LOW INCOME</v>
      </c>
      <c r="AO1311" s="1" t="str">
        <f>IF(Table1[[#This Row],[MNT_TOTAL]]&gt;=900,"HIGH VALUE","LOW VALUE")</f>
        <v>LOW VALUE</v>
      </c>
      <c r="AP13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11" s="1"/>
      <c r="AR1311" s="1"/>
    </row>
    <row r="1312" spans="1:44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51</v>
      </c>
      <c r="X1312">
        <v>2723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316</v>
      </c>
      <c r="AJ1312">
        <v>316</v>
      </c>
      <c r="AK1312">
        <v>0</v>
      </c>
      <c r="AL1312">
        <f t="shared" si="20"/>
        <v>316</v>
      </c>
      <c r="AM1312">
        <f>IF(OR(Table1[[#This Row],[marital_Married]]=1,Table1[[#This Row],[marital_Together]]=1),1,0)</f>
        <v>1</v>
      </c>
      <c r="AN1312" t="str">
        <f>IF(Table1[[#This Row],[Income]]&gt;=70000,"HIGH INCOME","LOW INCOME")</f>
        <v>LOW INCOME</v>
      </c>
      <c r="AO1312" s="1" t="str">
        <f>IF(Table1[[#This Row],[MNT_TOTAL]]&gt;=900,"HIGH VALUE","LOW VALUE")</f>
        <v>LOW VALUE</v>
      </c>
      <c r="AP13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12" s="1"/>
      <c r="AR1312" s="1"/>
    </row>
    <row r="1313" spans="1:44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58</v>
      </c>
      <c r="X1313">
        <v>2443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1232</v>
      </c>
      <c r="AJ1313">
        <v>1064</v>
      </c>
      <c r="AK1313">
        <v>2</v>
      </c>
      <c r="AL1313">
        <f t="shared" si="20"/>
        <v>1400</v>
      </c>
      <c r="AM1313">
        <f>IF(OR(Table1[[#This Row],[marital_Married]]=1,Table1[[#This Row],[marital_Together]]=1),1,0)</f>
        <v>1</v>
      </c>
      <c r="AN1313" t="str">
        <f>IF(Table1[[#This Row],[Income]]&gt;=70000,"HIGH INCOME","LOW INCOME")</f>
        <v>HIGH INCOME</v>
      </c>
      <c r="AO1313" s="1" t="str">
        <f>IF(Table1[[#This Row],[MNT_TOTAL]]&gt;=900,"HIGH VALUE","LOW VALUE")</f>
        <v>HIGH VALUE</v>
      </c>
      <c r="AP13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13" s="1"/>
      <c r="AR1313" s="1"/>
    </row>
    <row r="1314" spans="1:44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72</v>
      </c>
      <c r="X1314">
        <v>2494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1331</v>
      </c>
      <c r="AJ1314">
        <v>1238</v>
      </c>
      <c r="AK1314">
        <v>0</v>
      </c>
      <c r="AL1314">
        <f t="shared" si="20"/>
        <v>1424</v>
      </c>
      <c r="AM1314">
        <f>IF(OR(Table1[[#This Row],[marital_Married]]=1,Table1[[#This Row],[marital_Together]]=1),1,0)</f>
        <v>0</v>
      </c>
      <c r="AN1314" t="str">
        <f>IF(Table1[[#This Row],[Income]]&gt;=70000,"HIGH INCOME","LOW INCOME")</f>
        <v>HIGH INCOME</v>
      </c>
      <c r="AO1314" s="1" t="str">
        <f>IF(Table1[[#This Row],[MNT_TOTAL]]&gt;=900,"HIGH VALUE","LOW VALUE")</f>
        <v>HIGH VALUE</v>
      </c>
      <c r="AP13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14" s="1"/>
      <c r="AR1314" s="1"/>
    </row>
    <row r="1315" spans="1:44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1</v>
      </c>
      <c r="W1315">
        <v>42</v>
      </c>
      <c r="X1315">
        <v>2839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769</v>
      </c>
      <c r="AJ1315">
        <v>694</v>
      </c>
      <c r="AK1315">
        <v>3</v>
      </c>
      <c r="AL1315">
        <f t="shared" si="20"/>
        <v>844</v>
      </c>
      <c r="AM1315">
        <f>IF(OR(Table1[[#This Row],[marital_Married]]=1,Table1[[#This Row],[marital_Together]]=1),1,0)</f>
        <v>1</v>
      </c>
      <c r="AN1315" t="str">
        <f>IF(Table1[[#This Row],[Income]]&gt;=70000,"HIGH INCOME","LOW INCOME")</f>
        <v>HIGH INCOME</v>
      </c>
      <c r="AO1315" s="1" t="str">
        <f>IF(Table1[[#This Row],[MNT_TOTAL]]&gt;=900,"HIGH VALUE","LOW VALUE")</f>
        <v>LOW VALUE</v>
      </c>
      <c r="AP13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15" s="1"/>
      <c r="AR1315" s="1"/>
    </row>
    <row r="1316" spans="1:44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45</v>
      </c>
      <c r="X1316">
        <v>2444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270</v>
      </c>
      <c r="AJ1316">
        <v>229</v>
      </c>
      <c r="AK1316">
        <v>0</v>
      </c>
      <c r="AL1316">
        <f t="shared" si="20"/>
        <v>311</v>
      </c>
      <c r="AM1316">
        <f>IF(OR(Table1[[#This Row],[marital_Married]]=1,Table1[[#This Row],[marital_Together]]=1),1,0)</f>
        <v>1</v>
      </c>
      <c r="AN1316" t="str">
        <f>IF(Table1[[#This Row],[Income]]&gt;=70000,"HIGH INCOME","LOW INCOME")</f>
        <v>LOW INCOME</v>
      </c>
      <c r="AO1316" s="1" t="str">
        <f>IF(Table1[[#This Row],[MNT_TOTAL]]&gt;=900,"HIGH VALUE","LOW VALUE")</f>
        <v>LOW VALUE</v>
      </c>
      <c r="AP13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16" s="1"/>
      <c r="AR1316" s="1"/>
    </row>
    <row r="1317" spans="1:44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38</v>
      </c>
      <c r="X1317">
        <v>2576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1117</v>
      </c>
      <c r="AJ1317">
        <v>1085</v>
      </c>
      <c r="AK1317">
        <v>0</v>
      </c>
      <c r="AL1317">
        <f t="shared" si="20"/>
        <v>1149</v>
      </c>
      <c r="AM1317">
        <f>IF(OR(Table1[[#This Row],[marital_Married]]=1,Table1[[#This Row],[marital_Together]]=1),1,0)</f>
        <v>1</v>
      </c>
      <c r="AN1317" t="str">
        <f>IF(Table1[[#This Row],[Income]]&gt;=70000,"HIGH INCOME","LOW INCOME")</f>
        <v>HIGH INCOME</v>
      </c>
      <c r="AO1317" s="1" t="str">
        <f>IF(Table1[[#This Row],[MNT_TOTAL]]&gt;=900,"HIGH VALUE","LOW VALUE")</f>
        <v>HIGH VALUE</v>
      </c>
      <c r="AP13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17" s="1"/>
      <c r="AR1317" s="1"/>
    </row>
    <row r="1318" spans="1:44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37</v>
      </c>
      <c r="X1318">
        <v>2229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115</v>
      </c>
      <c r="AJ1318">
        <v>101</v>
      </c>
      <c r="AK1318">
        <v>0</v>
      </c>
      <c r="AL1318">
        <f t="shared" si="20"/>
        <v>129</v>
      </c>
      <c r="AM1318">
        <f>IF(OR(Table1[[#This Row],[marital_Married]]=1,Table1[[#This Row],[marital_Together]]=1),1,0)</f>
        <v>1</v>
      </c>
      <c r="AN1318" t="str">
        <f>IF(Table1[[#This Row],[Income]]&gt;=70000,"HIGH INCOME","LOW INCOME")</f>
        <v>LOW INCOME</v>
      </c>
      <c r="AO1318" s="1" t="str">
        <f>IF(Table1[[#This Row],[MNT_TOTAL]]&gt;=900,"HIGH VALUE","LOW VALUE")</f>
        <v>LOW VALUE</v>
      </c>
      <c r="AP13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18" s="1"/>
      <c r="AR1318" s="1"/>
    </row>
    <row r="1319" spans="1:44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68</v>
      </c>
      <c r="X1319">
        <v>2415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29</v>
      </c>
      <c r="AJ1319">
        <v>26</v>
      </c>
      <c r="AK1319">
        <v>0</v>
      </c>
      <c r="AL1319">
        <f t="shared" si="20"/>
        <v>32</v>
      </c>
      <c r="AM1319">
        <f>IF(OR(Table1[[#This Row],[marital_Married]]=1,Table1[[#This Row],[marital_Together]]=1),1,0)</f>
        <v>0</v>
      </c>
      <c r="AN1319" t="str">
        <f>IF(Table1[[#This Row],[Income]]&gt;=70000,"HIGH INCOME","LOW INCOME")</f>
        <v>LOW INCOME</v>
      </c>
      <c r="AO1319" s="1" t="str">
        <f>IF(Table1[[#This Row],[MNT_TOTAL]]&gt;=900,"HIGH VALUE","LOW VALUE")</f>
        <v>LOW VALUE</v>
      </c>
      <c r="AP13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19" s="1"/>
      <c r="AR1319" s="1"/>
    </row>
    <row r="1320" spans="1:44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38</v>
      </c>
      <c r="X1320">
        <v>2849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263</v>
      </c>
      <c r="AJ1320">
        <v>227</v>
      </c>
      <c r="AK1320">
        <v>0</v>
      </c>
      <c r="AL1320">
        <f t="shared" si="20"/>
        <v>299</v>
      </c>
      <c r="AM1320">
        <f>IF(OR(Table1[[#This Row],[marital_Married]]=1,Table1[[#This Row],[marital_Together]]=1),1,0)</f>
        <v>0</v>
      </c>
      <c r="AN1320" t="str">
        <f>IF(Table1[[#This Row],[Income]]&gt;=70000,"HIGH INCOME","LOW INCOME")</f>
        <v>LOW INCOME</v>
      </c>
      <c r="AO1320" s="1" t="str">
        <f>IF(Table1[[#This Row],[MNT_TOTAL]]&gt;=900,"HIGH VALUE","LOW VALUE")</f>
        <v>LOW VALUE</v>
      </c>
      <c r="AP13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20" s="1"/>
      <c r="AR1320" s="1"/>
    </row>
    <row r="1321" spans="1:44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58</v>
      </c>
      <c r="X1321">
        <v>2190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305</v>
      </c>
      <c r="AJ1321">
        <v>290</v>
      </c>
      <c r="AK1321">
        <v>1</v>
      </c>
      <c r="AL1321">
        <f t="shared" si="20"/>
        <v>320</v>
      </c>
      <c r="AM1321">
        <f>IF(OR(Table1[[#This Row],[marital_Married]]=1,Table1[[#This Row],[marital_Together]]=1),1,0)</f>
        <v>1</v>
      </c>
      <c r="AN1321" t="str">
        <f>IF(Table1[[#This Row],[Income]]&gt;=70000,"HIGH INCOME","LOW INCOME")</f>
        <v>LOW INCOME</v>
      </c>
      <c r="AO1321" s="1" t="str">
        <f>IF(Table1[[#This Row],[MNT_TOTAL]]&gt;=900,"HIGH VALUE","LOW VALUE")</f>
        <v>LOW VALUE</v>
      </c>
      <c r="AP13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1" s="1"/>
      <c r="AR1321" s="1"/>
    </row>
    <row r="1322" spans="1:44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43</v>
      </c>
      <c r="X1322">
        <v>2744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339</v>
      </c>
      <c r="AJ1322">
        <v>237</v>
      </c>
      <c r="AK1322">
        <v>0</v>
      </c>
      <c r="AL1322">
        <f t="shared" si="20"/>
        <v>441</v>
      </c>
      <c r="AM1322">
        <f>IF(OR(Table1[[#This Row],[marital_Married]]=1,Table1[[#This Row],[marital_Together]]=1),1,0)</f>
        <v>1</v>
      </c>
      <c r="AN1322" t="str">
        <f>IF(Table1[[#This Row],[Income]]&gt;=70000,"HIGH INCOME","LOW INCOME")</f>
        <v>LOW INCOME</v>
      </c>
      <c r="AO1322" s="1" t="str">
        <f>IF(Table1[[#This Row],[MNT_TOTAL]]&gt;=900,"HIGH VALUE","LOW VALUE")</f>
        <v>LOW VALUE</v>
      </c>
      <c r="AP13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2" s="1"/>
      <c r="AR1322" s="1"/>
    </row>
    <row r="1323" spans="1:44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71</v>
      </c>
      <c r="X1323">
        <v>2795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1144</v>
      </c>
      <c r="AJ1323">
        <v>1110</v>
      </c>
      <c r="AK1323">
        <v>1</v>
      </c>
      <c r="AL1323">
        <f t="shared" si="20"/>
        <v>1178</v>
      </c>
      <c r="AM1323">
        <f>IF(OR(Table1[[#This Row],[marital_Married]]=1,Table1[[#This Row],[marital_Together]]=1),1,0)</f>
        <v>1</v>
      </c>
      <c r="AN1323" t="str">
        <f>IF(Table1[[#This Row],[Income]]&gt;=70000,"HIGH INCOME","LOW INCOME")</f>
        <v>LOW INCOME</v>
      </c>
      <c r="AO1323" s="1" t="str">
        <f>IF(Table1[[#This Row],[MNT_TOTAL]]&gt;=900,"HIGH VALUE","LOW VALUE")</f>
        <v>HIGH VALUE</v>
      </c>
      <c r="AP13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23" s="1"/>
      <c r="AR1323" s="1"/>
    </row>
    <row r="1324" spans="1:44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30</v>
      </c>
      <c r="X1324">
        <v>2657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67</v>
      </c>
      <c r="AJ1324">
        <v>49</v>
      </c>
      <c r="AK1324">
        <v>0</v>
      </c>
      <c r="AL1324">
        <f t="shared" si="20"/>
        <v>85</v>
      </c>
      <c r="AM1324">
        <f>IF(OR(Table1[[#This Row],[marital_Married]]=1,Table1[[#This Row],[marital_Together]]=1),1,0)</f>
        <v>1</v>
      </c>
      <c r="AN1324" t="str">
        <f>IF(Table1[[#This Row],[Income]]&gt;=70000,"HIGH INCOME","LOW INCOME")</f>
        <v>LOW INCOME</v>
      </c>
      <c r="AO1324" s="1" t="str">
        <f>IF(Table1[[#This Row],[MNT_TOTAL]]&gt;=900,"HIGH VALUE","LOW VALUE")</f>
        <v>LOW VALUE</v>
      </c>
      <c r="AP13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4" s="1"/>
      <c r="AR1324" s="1"/>
    </row>
    <row r="1325" spans="1:44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38</v>
      </c>
      <c r="X1325">
        <v>2625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19</v>
      </c>
      <c r="AJ1325">
        <v>14</v>
      </c>
      <c r="AK1325">
        <v>0</v>
      </c>
      <c r="AL1325">
        <f t="shared" si="20"/>
        <v>24</v>
      </c>
      <c r="AM1325">
        <f>IF(OR(Table1[[#This Row],[marital_Married]]=1,Table1[[#This Row],[marital_Together]]=1),1,0)</f>
        <v>0</v>
      </c>
      <c r="AN1325" t="str">
        <f>IF(Table1[[#This Row],[Income]]&gt;=70000,"HIGH INCOME","LOW INCOME")</f>
        <v>LOW INCOME</v>
      </c>
      <c r="AO1325" s="1" t="str">
        <f>IF(Table1[[#This Row],[MNT_TOTAL]]&gt;=900,"HIGH VALUE","LOW VALUE")</f>
        <v>LOW VALUE</v>
      </c>
      <c r="AP13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25" s="1"/>
      <c r="AR1325" s="1"/>
    </row>
    <row r="1326" spans="1:44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45</v>
      </c>
      <c r="X1326">
        <v>2653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70</v>
      </c>
      <c r="AJ1326">
        <v>28</v>
      </c>
      <c r="AK1326">
        <v>0</v>
      </c>
      <c r="AL1326">
        <f t="shared" si="20"/>
        <v>112</v>
      </c>
      <c r="AM1326">
        <f>IF(OR(Table1[[#This Row],[marital_Married]]=1,Table1[[#This Row],[marital_Together]]=1),1,0)</f>
        <v>0</v>
      </c>
      <c r="AN1326" t="str">
        <f>IF(Table1[[#This Row],[Income]]&gt;=70000,"HIGH INCOME","LOW INCOME")</f>
        <v>LOW INCOME</v>
      </c>
      <c r="AO1326" s="1" t="str">
        <f>IF(Table1[[#This Row],[MNT_TOTAL]]&gt;=900,"HIGH VALUE","LOW VALUE")</f>
        <v>LOW VALUE</v>
      </c>
      <c r="AP13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26" s="1"/>
      <c r="AR1326" s="1"/>
    </row>
    <row r="1327" spans="1:44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61</v>
      </c>
      <c r="X1327">
        <v>2663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24</v>
      </c>
      <c r="AJ1327">
        <v>18</v>
      </c>
      <c r="AK1327">
        <v>0</v>
      </c>
      <c r="AL1327">
        <f t="shared" si="20"/>
        <v>30</v>
      </c>
      <c r="AM1327">
        <f>IF(OR(Table1[[#This Row],[marital_Married]]=1,Table1[[#This Row],[marital_Together]]=1),1,0)</f>
        <v>1</v>
      </c>
      <c r="AN1327" t="str">
        <f>IF(Table1[[#This Row],[Income]]&gt;=70000,"HIGH INCOME","LOW INCOME")</f>
        <v>LOW INCOME</v>
      </c>
      <c r="AO1327" s="1" t="str">
        <f>IF(Table1[[#This Row],[MNT_TOTAL]]&gt;=900,"HIGH VALUE","LOW VALUE")</f>
        <v>LOW VALUE</v>
      </c>
      <c r="AP13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7" s="1"/>
      <c r="AR1327" s="1"/>
    </row>
    <row r="1328" spans="1:44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37</v>
      </c>
      <c r="X1328">
        <v>2533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399</v>
      </c>
      <c r="AJ1328">
        <v>388</v>
      </c>
      <c r="AK1328">
        <v>0</v>
      </c>
      <c r="AL1328">
        <f t="shared" si="20"/>
        <v>410</v>
      </c>
      <c r="AM1328">
        <f>IF(OR(Table1[[#This Row],[marital_Married]]=1,Table1[[#This Row],[marital_Together]]=1),1,0)</f>
        <v>1</v>
      </c>
      <c r="AN1328" t="str">
        <f>IF(Table1[[#This Row],[Income]]&gt;=70000,"HIGH INCOME","LOW INCOME")</f>
        <v>LOW INCOME</v>
      </c>
      <c r="AO1328" s="1" t="str">
        <f>IF(Table1[[#This Row],[MNT_TOTAL]]&gt;=900,"HIGH VALUE","LOW VALUE")</f>
        <v>LOW VALUE</v>
      </c>
      <c r="AP13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8" s="1"/>
      <c r="AR1328" s="1"/>
    </row>
    <row r="1329" spans="1:44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44</v>
      </c>
      <c r="X1329">
        <v>2461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762</v>
      </c>
      <c r="AJ1329">
        <v>724</v>
      </c>
      <c r="AK1329">
        <v>1</v>
      </c>
      <c r="AL1329">
        <f t="shared" si="20"/>
        <v>800</v>
      </c>
      <c r="AM1329">
        <f>IF(OR(Table1[[#This Row],[marital_Married]]=1,Table1[[#This Row],[marital_Together]]=1),1,0)</f>
        <v>1</v>
      </c>
      <c r="AN1329" t="str">
        <f>IF(Table1[[#This Row],[Income]]&gt;=70000,"HIGH INCOME","LOW INCOME")</f>
        <v>LOW INCOME</v>
      </c>
      <c r="AO1329" s="1" t="str">
        <f>IF(Table1[[#This Row],[MNT_TOTAL]]&gt;=900,"HIGH VALUE","LOW VALUE")</f>
        <v>LOW VALUE</v>
      </c>
      <c r="AP13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29" s="1"/>
      <c r="AR1329" s="1"/>
    </row>
    <row r="1330" spans="1:44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58</v>
      </c>
      <c r="X1330">
        <v>2581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1301</v>
      </c>
      <c r="AJ1330">
        <v>1289</v>
      </c>
      <c r="AK1330">
        <v>0</v>
      </c>
      <c r="AL1330">
        <f t="shared" si="20"/>
        <v>1313</v>
      </c>
      <c r="AM1330">
        <f>IF(OR(Table1[[#This Row],[marital_Married]]=1,Table1[[#This Row],[marital_Together]]=1),1,0)</f>
        <v>0</v>
      </c>
      <c r="AN1330" t="str">
        <f>IF(Table1[[#This Row],[Income]]&gt;=70000,"HIGH INCOME","LOW INCOME")</f>
        <v>HIGH INCOME</v>
      </c>
      <c r="AO1330" s="1" t="str">
        <f>IF(Table1[[#This Row],[MNT_TOTAL]]&gt;=900,"HIGH VALUE","LOW VALUE")</f>
        <v>HIGH VALUE</v>
      </c>
      <c r="AP13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30" s="1"/>
      <c r="AR1330" s="1"/>
    </row>
    <row r="1331" spans="1:44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64</v>
      </c>
      <c r="X1331">
        <v>2615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1469</v>
      </c>
      <c r="AJ1331">
        <v>1455</v>
      </c>
      <c r="AK1331">
        <v>0</v>
      </c>
      <c r="AL1331">
        <f t="shared" si="20"/>
        <v>1483</v>
      </c>
      <c r="AM1331">
        <f>IF(OR(Table1[[#This Row],[marital_Married]]=1,Table1[[#This Row],[marital_Together]]=1),1,0)</f>
        <v>1</v>
      </c>
      <c r="AN1331" t="str">
        <f>IF(Table1[[#This Row],[Income]]&gt;=70000,"HIGH INCOME","LOW INCOME")</f>
        <v>HIGH INCOME</v>
      </c>
      <c r="AO1331" s="1" t="str">
        <f>IF(Table1[[#This Row],[MNT_TOTAL]]&gt;=900,"HIGH VALUE","LOW VALUE")</f>
        <v>HIGH VALUE</v>
      </c>
      <c r="AP13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31" s="1"/>
      <c r="AR1331" s="1"/>
    </row>
    <row r="1332" spans="1:44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27</v>
      </c>
      <c r="X1332">
        <v>2410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1118</v>
      </c>
      <c r="AJ1332">
        <v>978</v>
      </c>
      <c r="AK1332">
        <v>0</v>
      </c>
      <c r="AL1332">
        <f t="shared" si="20"/>
        <v>1258</v>
      </c>
      <c r="AM1332">
        <f>IF(OR(Table1[[#This Row],[marital_Married]]=1,Table1[[#This Row],[marital_Together]]=1),1,0)</f>
        <v>0</v>
      </c>
      <c r="AN1332" t="str">
        <f>IF(Table1[[#This Row],[Income]]&gt;=70000,"HIGH INCOME","LOW INCOME")</f>
        <v>HIGH INCOME</v>
      </c>
      <c r="AO1332" s="1" t="str">
        <f>IF(Table1[[#This Row],[MNT_TOTAL]]&gt;=900,"HIGH VALUE","LOW VALUE")</f>
        <v>HIGH VALUE</v>
      </c>
      <c r="AP13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32" s="1"/>
      <c r="AR1332" s="1"/>
    </row>
    <row r="1333" spans="1:44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33</v>
      </c>
      <c r="X1333">
        <v>2757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17</v>
      </c>
      <c r="AJ1333">
        <v>6</v>
      </c>
      <c r="AK1333">
        <v>0</v>
      </c>
      <c r="AL1333">
        <f t="shared" si="20"/>
        <v>28</v>
      </c>
      <c r="AM1333">
        <f>IF(OR(Table1[[#This Row],[marital_Married]]=1,Table1[[#This Row],[marital_Together]]=1),1,0)</f>
        <v>1</v>
      </c>
      <c r="AN1333" t="str">
        <f>IF(Table1[[#This Row],[Income]]&gt;=70000,"HIGH INCOME","LOW INCOME")</f>
        <v>LOW INCOME</v>
      </c>
      <c r="AO1333" s="1" t="str">
        <f>IF(Table1[[#This Row],[MNT_TOTAL]]&gt;=900,"HIGH VALUE","LOW VALUE")</f>
        <v>LOW VALUE</v>
      </c>
      <c r="AP13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33" s="1"/>
      <c r="AR1333" s="1"/>
    </row>
    <row r="1334" spans="1:44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55</v>
      </c>
      <c r="X1334">
        <v>2312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221</v>
      </c>
      <c r="AJ1334">
        <v>215</v>
      </c>
      <c r="AK1334">
        <v>0</v>
      </c>
      <c r="AL1334">
        <f t="shared" si="20"/>
        <v>227</v>
      </c>
      <c r="AM1334">
        <f>IF(OR(Table1[[#This Row],[marital_Married]]=1,Table1[[#This Row],[marital_Together]]=1),1,0)</f>
        <v>1</v>
      </c>
      <c r="AN1334" t="str">
        <f>IF(Table1[[#This Row],[Income]]&gt;=70000,"HIGH INCOME","LOW INCOME")</f>
        <v>LOW INCOME</v>
      </c>
      <c r="AO1334" s="1" t="str">
        <f>IF(Table1[[#This Row],[MNT_TOTAL]]&gt;=900,"HIGH VALUE","LOW VALUE")</f>
        <v>LOW VALUE</v>
      </c>
      <c r="AP13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34" s="1"/>
      <c r="AR1334" s="1"/>
    </row>
    <row r="1335" spans="1:44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38</v>
      </c>
      <c r="X1335">
        <v>2756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1460</v>
      </c>
      <c r="AJ1335">
        <v>1365</v>
      </c>
      <c r="AK1335">
        <v>1</v>
      </c>
      <c r="AL1335">
        <f t="shared" si="20"/>
        <v>1555</v>
      </c>
      <c r="AM1335">
        <f>IF(OR(Table1[[#This Row],[marital_Married]]=1,Table1[[#This Row],[marital_Together]]=1),1,0)</f>
        <v>1</v>
      </c>
      <c r="AN1335" t="str">
        <f>IF(Table1[[#This Row],[Income]]&gt;=70000,"HIGH INCOME","LOW INCOME")</f>
        <v>LOW INCOME</v>
      </c>
      <c r="AO1335" s="1" t="str">
        <f>IF(Table1[[#This Row],[MNT_TOTAL]]&gt;=900,"HIGH VALUE","LOW VALUE")</f>
        <v>HIGH VALUE</v>
      </c>
      <c r="AP13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35" s="1"/>
      <c r="AR1335" s="1"/>
    </row>
    <row r="1336" spans="1:44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58</v>
      </c>
      <c r="X1336">
        <v>2628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808</v>
      </c>
      <c r="AJ1336">
        <v>755</v>
      </c>
      <c r="AK1336">
        <v>0</v>
      </c>
      <c r="AL1336">
        <f t="shared" si="20"/>
        <v>861</v>
      </c>
      <c r="AM1336">
        <f>IF(OR(Table1[[#This Row],[marital_Married]]=1,Table1[[#This Row],[marital_Together]]=1),1,0)</f>
        <v>0</v>
      </c>
      <c r="AN1336" t="str">
        <f>IF(Table1[[#This Row],[Income]]&gt;=70000,"HIGH INCOME","LOW INCOME")</f>
        <v>LOW INCOME</v>
      </c>
      <c r="AO1336" s="1" t="str">
        <f>IF(Table1[[#This Row],[MNT_TOTAL]]&gt;=900,"HIGH VALUE","LOW VALUE")</f>
        <v>LOW VALUE</v>
      </c>
      <c r="AP13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36" s="1"/>
      <c r="AR1336" s="1"/>
    </row>
    <row r="1337" spans="1:44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42</v>
      </c>
      <c r="X1337">
        <v>2592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70</v>
      </c>
      <c r="AJ1337">
        <v>37</v>
      </c>
      <c r="AK1337">
        <v>1</v>
      </c>
      <c r="AL1337">
        <f t="shared" si="20"/>
        <v>103</v>
      </c>
      <c r="AM1337">
        <f>IF(OR(Table1[[#This Row],[marital_Married]]=1,Table1[[#This Row],[marital_Together]]=1),1,0)</f>
        <v>1</v>
      </c>
      <c r="AN1337" t="str">
        <f>IF(Table1[[#This Row],[Income]]&gt;=70000,"HIGH INCOME","LOW INCOME")</f>
        <v>LOW INCOME</v>
      </c>
      <c r="AO1337" s="1" t="str">
        <f>IF(Table1[[#This Row],[MNT_TOTAL]]&gt;=900,"HIGH VALUE","LOW VALUE")</f>
        <v>LOW VALUE</v>
      </c>
      <c r="AP13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37" s="1"/>
      <c r="AR1337" s="1"/>
    </row>
    <row r="1338" spans="1:44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74</v>
      </c>
      <c r="X1338">
        <v>2221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605</v>
      </c>
      <c r="AJ1338">
        <v>576</v>
      </c>
      <c r="AK1338">
        <v>0</v>
      </c>
      <c r="AL1338">
        <f t="shared" si="20"/>
        <v>634</v>
      </c>
      <c r="AM1338">
        <f>IF(OR(Table1[[#This Row],[marital_Married]]=1,Table1[[#This Row],[marital_Together]]=1),1,0)</f>
        <v>0</v>
      </c>
      <c r="AN1338" t="str">
        <f>IF(Table1[[#This Row],[Income]]&gt;=70000,"HIGH INCOME","LOW INCOME")</f>
        <v>LOW INCOME</v>
      </c>
      <c r="AO1338" s="1" t="str">
        <f>IF(Table1[[#This Row],[MNT_TOTAL]]&gt;=900,"HIGH VALUE","LOW VALUE")</f>
        <v>LOW VALUE</v>
      </c>
      <c r="AP13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38" s="1"/>
      <c r="AR1338" s="1"/>
    </row>
    <row r="1339" spans="1:44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57</v>
      </c>
      <c r="X1339">
        <v>2341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1900</v>
      </c>
      <c r="AJ1339">
        <v>1882</v>
      </c>
      <c r="AK1339">
        <v>0</v>
      </c>
      <c r="AL1339">
        <f t="shared" si="20"/>
        <v>1918</v>
      </c>
      <c r="AM1339">
        <f>IF(OR(Table1[[#This Row],[marital_Married]]=1,Table1[[#This Row],[marital_Together]]=1),1,0)</f>
        <v>0</v>
      </c>
      <c r="AN1339" t="str">
        <f>IF(Table1[[#This Row],[Income]]&gt;=70000,"HIGH INCOME","LOW INCOME")</f>
        <v>HIGH INCOME</v>
      </c>
      <c r="AO1339" s="1" t="str">
        <f>IF(Table1[[#This Row],[MNT_TOTAL]]&gt;=900,"HIGH VALUE","LOW VALUE")</f>
        <v>HIGH VALUE</v>
      </c>
      <c r="AP13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39" s="1"/>
      <c r="AR1339" s="1"/>
    </row>
    <row r="1340" spans="1:44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49</v>
      </c>
      <c r="X1340">
        <v>2427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119</v>
      </c>
      <c r="AJ1340">
        <v>107</v>
      </c>
      <c r="AK1340">
        <v>0</v>
      </c>
      <c r="AL1340">
        <f t="shared" si="20"/>
        <v>131</v>
      </c>
      <c r="AM1340">
        <f>IF(OR(Table1[[#This Row],[marital_Married]]=1,Table1[[#This Row],[marital_Together]]=1),1,0)</f>
        <v>0</v>
      </c>
      <c r="AN1340" t="str">
        <f>IF(Table1[[#This Row],[Income]]&gt;=70000,"HIGH INCOME","LOW INCOME")</f>
        <v>LOW INCOME</v>
      </c>
      <c r="AO1340" s="1" t="str">
        <f>IF(Table1[[#This Row],[MNT_TOTAL]]&gt;=900,"HIGH VALUE","LOW VALUE")</f>
        <v>LOW VALUE</v>
      </c>
      <c r="AP13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0" s="1"/>
      <c r="AR1340" s="1"/>
    </row>
    <row r="1341" spans="1:44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52</v>
      </c>
      <c r="X1341">
        <v>2800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498</v>
      </c>
      <c r="AJ1341">
        <v>410</v>
      </c>
      <c r="AK1341">
        <v>0</v>
      </c>
      <c r="AL1341">
        <f t="shared" si="20"/>
        <v>586</v>
      </c>
      <c r="AM1341">
        <f>IF(OR(Table1[[#This Row],[marital_Married]]=1,Table1[[#This Row],[marital_Together]]=1),1,0)</f>
        <v>1</v>
      </c>
      <c r="AN1341" t="str">
        <f>IF(Table1[[#This Row],[Income]]&gt;=70000,"HIGH INCOME","LOW INCOME")</f>
        <v>LOW INCOME</v>
      </c>
      <c r="AO1341" s="1" t="str">
        <f>IF(Table1[[#This Row],[MNT_TOTAL]]&gt;=900,"HIGH VALUE","LOW VALUE")</f>
        <v>LOW VALUE</v>
      </c>
      <c r="AP13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41" s="1"/>
      <c r="AR1341" s="1"/>
    </row>
    <row r="1342" spans="1:44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28</v>
      </c>
      <c r="X1342">
        <v>2377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40</v>
      </c>
      <c r="AJ1342">
        <v>18</v>
      </c>
      <c r="AK1342">
        <v>1</v>
      </c>
      <c r="AL1342">
        <f t="shared" si="20"/>
        <v>62</v>
      </c>
      <c r="AM1342">
        <f>IF(OR(Table1[[#This Row],[marital_Married]]=1,Table1[[#This Row],[marital_Together]]=1),1,0)</f>
        <v>1</v>
      </c>
      <c r="AN1342" t="str">
        <f>IF(Table1[[#This Row],[Income]]&gt;=70000,"HIGH INCOME","LOW INCOME")</f>
        <v>LOW INCOME</v>
      </c>
      <c r="AO1342" s="1" t="str">
        <f>IF(Table1[[#This Row],[MNT_TOTAL]]&gt;=900,"HIGH VALUE","LOW VALUE")</f>
        <v>LOW VALUE</v>
      </c>
      <c r="AP13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42" s="1"/>
      <c r="AR1342" s="1"/>
    </row>
    <row r="1343" spans="1:44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46</v>
      </c>
      <c r="X1343">
        <v>2554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397</v>
      </c>
      <c r="AJ1343">
        <v>347</v>
      </c>
      <c r="AK1343">
        <v>0</v>
      </c>
      <c r="AL1343">
        <f t="shared" si="20"/>
        <v>447</v>
      </c>
      <c r="AM1343">
        <f>IF(OR(Table1[[#This Row],[marital_Married]]=1,Table1[[#This Row],[marital_Together]]=1),1,0)</f>
        <v>0</v>
      </c>
      <c r="AN1343" t="str">
        <f>IF(Table1[[#This Row],[Income]]&gt;=70000,"HIGH INCOME","LOW INCOME")</f>
        <v>LOW INCOME</v>
      </c>
      <c r="AO1343" s="1" t="str">
        <f>IF(Table1[[#This Row],[MNT_TOTAL]]&gt;=900,"HIGH VALUE","LOW VALUE")</f>
        <v>LOW VALUE</v>
      </c>
      <c r="AP13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3" s="1"/>
      <c r="AR1343" s="1"/>
    </row>
    <row r="1344" spans="1:44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70</v>
      </c>
      <c r="X1344">
        <v>2857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911</v>
      </c>
      <c r="AJ1344">
        <v>883</v>
      </c>
      <c r="AK1344">
        <v>0</v>
      </c>
      <c r="AL1344">
        <f t="shared" si="20"/>
        <v>939</v>
      </c>
      <c r="AM1344">
        <f>IF(OR(Table1[[#This Row],[marital_Married]]=1,Table1[[#This Row],[marital_Together]]=1),1,0)</f>
        <v>1</v>
      </c>
      <c r="AN1344" t="str">
        <f>IF(Table1[[#This Row],[Income]]&gt;=70000,"HIGH INCOME","LOW INCOME")</f>
        <v>LOW INCOME</v>
      </c>
      <c r="AO1344" s="1" t="str">
        <f>IF(Table1[[#This Row],[MNT_TOTAL]]&gt;=900,"HIGH VALUE","LOW VALUE")</f>
        <v>HIGH VALUE</v>
      </c>
      <c r="AP13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4" s="1"/>
      <c r="AR1344" s="1"/>
    </row>
    <row r="1345" spans="1:44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43</v>
      </c>
      <c r="X1345">
        <v>2498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774</v>
      </c>
      <c r="AJ1345">
        <v>751</v>
      </c>
      <c r="AK1345">
        <v>1</v>
      </c>
      <c r="AL1345">
        <f t="shared" si="20"/>
        <v>797</v>
      </c>
      <c r="AM1345">
        <f>IF(OR(Table1[[#This Row],[marital_Married]]=1,Table1[[#This Row],[marital_Together]]=1),1,0)</f>
        <v>0</v>
      </c>
      <c r="AN1345" t="str">
        <f>IF(Table1[[#This Row],[Income]]&gt;=70000,"HIGH INCOME","LOW INCOME")</f>
        <v>LOW INCOME</v>
      </c>
      <c r="AO1345" s="1" t="str">
        <f>IF(Table1[[#This Row],[MNT_TOTAL]]&gt;=900,"HIGH VALUE","LOW VALUE")</f>
        <v>LOW VALUE</v>
      </c>
      <c r="AP13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5" s="1"/>
      <c r="AR1345" s="1"/>
    </row>
    <row r="1346" spans="1:44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62</v>
      </c>
      <c r="X1346">
        <v>2822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1061</v>
      </c>
      <c r="AJ1346">
        <v>979</v>
      </c>
      <c r="AK1346">
        <v>0</v>
      </c>
      <c r="AL1346">
        <f t="shared" ref="AL1346:AL1409" si="21">SUM(E1346:J1346)</f>
        <v>1143</v>
      </c>
      <c r="AM1346">
        <f>IF(OR(Table1[[#This Row],[marital_Married]]=1,Table1[[#This Row],[marital_Together]]=1),1,0)</f>
        <v>0</v>
      </c>
      <c r="AN1346" t="str">
        <f>IF(Table1[[#This Row],[Income]]&gt;=70000,"HIGH INCOME","LOW INCOME")</f>
        <v>HIGH INCOME</v>
      </c>
      <c r="AO1346" s="1" t="str">
        <f>IF(Table1[[#This Row],[MNT_TOTAL]]&gt;=900,"HIGH VALUE","LOW VALUE")</f>
        <v>HIGH VALUE</v>
      </c>
      <c r="AP13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346" s="1"/>
      <c r="AR1346" s="1"/>
    </row>
    <row r="1347" spans="1:44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44</v>
      </c>
      <c r="X1347">
        <v>2393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389</v>
      </c>
      <c r="AJ1347">
        <v>363</v>
      </c>
      <c r="AK1347">
        <v>0</v>
      </c>
      <c r="AL1347">
        <f t="shared" si="21"/>
        <v>415</v>
      </c>
      <c r="AM1347">
        <f>IF(OR(Table1[[#This Row],[marital_Married]]=1,Table1[[#This Row],[marital_Together]]=1),1,0)</f>
        <v>0</v>
      </c>
      <c r="AN1347" t="str">
        <f>IF(Table1[[#This Row],[Income]]&gt;=70000,"HIGH INCOME","LOW INCOME")</f>
        <v>LOW INCOME</v>
      </c>
      <c r="AO1347" s="1" t="str">
        <f>IF(Table1[[#This Row],[MNT_TOTAL]]&gt;=900,"HIGH VALUE","LOW VALUE")</f>
        <v>LOW VALUE</v>
      </c>
      <c r="AP13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7" s="1"/>
      <c r="AR1347" s="1"/>
    </row>
    <row r="1348" spans="1:44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47</v>
      </c>
      <c r="X1348">
        <v>2375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23</v>
      </c>
      <c r="AJ1348">
        <v>16</v>
      </c>
      <c r="AK1348">
        <v>0</v>
      </c>
      <c r="AL1348">
        <f t="shared" si="21"/>
        <v>30</v>
      </c>
      <c r="AM1348">
        <f>IF(OR(Table1[[#This Row],[marital_Married]]=1,Table1[[#This Row],[marital_Together]]=1),1,0)</f>
        <v>1</v>
      </c>
      <c r="AN1348" t="str">
        <f>IF(Table1[[#This Row],[Income]]&gt;=70000,"HIGH INCOME","LOW INCOME")</f>
        <v>LOW INCOME</v>
      </c>
      <c r="AO1348" s="1" t="str">
        <f>IF(Table1[[#This Row],[MNT_TOTAL]]&gt;=900,"HIGH VALUE","LOW VALUE")</f>
        <v>LOW VALUE</v>
      </c>
      <c r="AP13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48" s="1"/>
      <c r="AR1348" s="1"/>
    </row>
    <row r="1349" spans="1:44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52</v>
      </c>
      <c r="X1349">
        <v>2344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182</v>
      </c>
      <c r="AJ1349">
        <v>177</v>
      </c>
      <c r="AK1349">
        <v>0</v>
      </c>
      <c r="AL1349">
        <f t="shared" si="21"/>
        <v>187</v>
      </c>
      <c r="AM1349">
        <f>IF(OR(Table1[[#This Row],[marital_Married]]=1,Table1[[#This Row],[marital_Together]]=1),1,0)</f>
        <v>0</v>
      </c>
      <c r="AN1349" t="str">
        <f>IF(Table1[[#This Row],[Income]]&gt;=70000,"HIGH INCOME","LOW INCOME")</f>
        <v>LOW INCOME</v>
      </c>
      <c r="AO1349" s="1" t="str">
        <f>IF(Table1[[#This Row],[MNT_TOTAL]]&gt;=900,"HIGH VALUE","LOW VALUE")</f>
        <v>LOW VALUE</v>
      </c>
      <c r="AP13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49" s="1"/>
      <c r="AR1349" s="1"/>
    </row>
    <row r="1350" spans="1:44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62</v>
      </c>
      <c r="X1350">
        <v>2206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221</v>
      </c>
      <c r="AJ1350">
        <v>191</v>
      </c>
      <c r="AK1350">
        <v>0</v>
      </c>
      <c r="AL1350">
        <f t="shared" si="21"/>
        <v>251</v>
      </c>
      <c r="AM1350">
        <f>IF(OR(Table1[[#This Row],[marital_Married]]=1,Table1[[#This Row],[marital_Together]]=1),1,0)</f>
        <v>1</v>
      </c>
      <c r="AN1350" t="str">
        <f>IF(Table1[[#This Row],[Income]]&gt;=70000,"HIGH INCOME","LOW INCOME")</f>
        <v>LOW INCOME</v>
      </c>
      <c r="AO1350" s="1" t="str">
        <f>IF(Table1[[#This Row],[MNT_TOTAL]]&gt;=900,"HIGH VALUE","LOW VALUE")</f>
        <v>LOW VALUE</v>
      </c>
      <c r="AP13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50" s="1"/>
      <c r="AR1350" s="1"/>
    </row>
    <row r="1351" spans="1:44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45</v>
      </c>
      <c r="X1351">
        <v>2220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220</v>
      </c>
      <c r="AJ1351">
        <v>203</v>
      </c>
      <c r="AK1351">
        <v>0</v>
      </c>
      <c r="AL1351">
        <f t="shared" si="21"/>
        <v>237</v>
      </c>
      <c r="AM1351">
        <f>IF(OR(Table1[[#This Row],[marital_Married]]=1,Table1[[#This Row],[marital_Together]]=1),1,0)</f>
        <v>0</v>
      </c>
      <c r="AN1351" t="str">
        <f>IF(Table1[[#This Row],[Income]]&gt;=70000,"HIGH INCOME","LOW INCOME")</f>
        <v>LOW INCOME</v>
      </c>
      <c r="AO1351" s="1" t="str">
        <f>IF(Table1[[#This Row],[MNT_TOTAL]]&gt;=900,"HIGH VALUE","LOW VALUE")</f>
        <v>LOW VALUE</v>
      </c>
      <c r="AP13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1" s="1"/>
      <c r="AR1351" s="1"/>
    </row>
    <row r="1352" spans="1:44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60</v>
      </c>
      <c r="X1352">
        <v>2345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90</v>
      </c>
      <c r="AJ1352">
        <v>89</v>
      </c>
      <c r="AK1352">
        <v>0</v>
      </c>
      <c r="AL1352">
        <f t="shared" si="21"/>
        <v>91</v>
      </c>
      <c r="AM1352">
        <f>IF(OR(Table1[[#This Row],[marital_Married]]=1,Table1[[#This Row],[marital_Together]]=1),1,0)</f>
        <v>1</v>
      </c>
      <c r="AN1352" t="str">
        <f>IF(Table1[[#This Row],[Income]]&gt;=70000,"HIGH INCOME","LOW INCOME")</f>
        <v>LOW INCOME</v>
      </c>
      <c r="AO1352" s="1" t="str">
        <f>IF(Table1[[#This Row],[MNT_TOTAL]]&gt;=900,"HIGH VALUE","LOW VALUE")</f>
        <v>LOW VALUE</v>
      </c>
      <c r="AP13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52" s="1"/>
      <c r="AR1352" s="1"/>
    </row>
    <row r="1353" spans="1:44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55</v>
      </c>
      <c r="X1353">
        <v>2578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32</v>
      </c>
      <c r="AJ1353">
        <v>29</v>
      </c>
      <c r="AK1353">
        <v>0</v>
      </c>
      <c r="AL1353">
        <f t="shared" si="21"/>
        <v>35</v>
      </c>
      <c r="AM1353">
        <f>IF(OR(Table1[[#This Row],[marital_Married]]=1,Table1[[#This Row],[marital_Together]]=1),1,0)</f>
        <v>0</v>
      </c>
      <c r="AN1353" t="str">
        <f>IF(Table1[[#This Row],[Income]]&gt;=70000,"HIGH INCOME","LOW INCOME")</f>
        <v>LOW INCOME</v>
      </c>
      <c r="AO1353" s="1" t="str">
        <f>IF(Table1[[#This Row],[MNT_TOTAL]]&gt;=900,"HIGH VALUE","LOW VALUE")</f>
        <v>LOW VALUE</v>
      </c>
      <c r="AP13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3" s="1"/>
      <c r="AR1353" s="1"/>
    </row>
    <row r="1354" spans="1:44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60</v>
      </c>
      <c r="X1354">
        <v>2792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489</v>
      </c>
      <c r="AJ1354">
        <v>485</v>
      </c>
      <c r="AK1354">
        <v>1</v>
      </c>
      <c r="AL1354">
        <f t="shared" si="21"/>
        <v>493</v>
      </c>
      <c r="AM1354">
        <f>IF(OR(Table1[[#This Row],[marital_Married]]=1,Table1[[#This Row],[marital_Together]]=1),1,0)</f>
        <v>0</v>
      </c>
      <c r="AN1354" t="str">
        <f>IF(Table1[[#This Row],[Income]]&gt;=70000,"HIGH INCOME","LOW INCOME")</f>
        <v>LOW INCOME</v>
      </c>
      <c r="AO1354" s="1" t="str">
        <f>IF(Table1[[#This Row],[MNT_TOTAL]]&gt;=900,"HIGH VALUE","LOW VALUE")</f>
        <v>LOW VALUE</v>
      </c>
      <c r="AP13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4" s="1"/>
      <c r="AR1354" s="1"/>
    </row>
    <row r="1355" spans="1:44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51</v>
      </c>
      <c r="X1355">
        <v>2642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883</v>
      </c>
      <c r="AJ1355">
        <v>795</v>
      </c>
      <c r="AK1355">
        <v>0</v>
      </c>
      <c r="AL1355">
        <f t="shared" si="21"/>
        <v>971</v>
      </c>
      <c r="AM1355">
        <f>IF(OR(Table1[[#This Row],[marital_Married]]=1,Table1[[#This Row],[marital_Together]]=1),1,0)</f>
        <v>1</v>
      </c>
      <c r="AN1355" t="str">
        <f>IF(Table1[[#This Row],[Income]]&gt;=70000,"HIGH INCOME","LOW INCOME")</f>
        <v>LOW INCOME</v>
      </c>
      <c r="AO1355" s="1" t="str">
        <f>IF(Table1[[#This Row],[MNT_TOTAL]]&gt;=900,"HIGH VALUE","LOW VALUE")</f>
        <v>HIGH VALUE</v>
      </c>
      <c r="AP13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5" s="1"/>
      <c r="AR1355" s="1"/>
    </row>
    <row r="1356" spans="1:44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60</v>
      </c>
      <c r="X1356">
        <v>2733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344</v>
      </c>
      <c r="AJ1356">
        <v>317</v>
      </c>
      <c r="AK1356">
        <v>0</v>
      </c>
      <c r="AL1356">
        <f t="shared" si="21"/>
        <v>371</v>
      </c>
      <c r="AM1356">
        <f>IF(OR(Table1[[#This Row],[marital_Married]]=1,Table1[[#This Row],[marital_Together]]=1),1,0)</f>
        <v>0</v>
      </c>
      <c r="AN1356" t="str">
        <f>IF(Table1[[#This Row],[Income]]&gt;=70000,"HIGH INCOME","LOW INCOME")</f>
        <v>LOW INCOME</v>
      </c>
      <c r="AO1356" s="1" t="str">
        <f>IF(Table1[[#This Row],[MNT_TOTAL]]&gt;=900,"HIGH VALUE","LOW VALUE")</f>
        <v>LOW VALUE</v>
      </c>
      <c r="AP13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6" s="1"/>
      <c r="AR1356" s="1"/>
    </row>
    <row r="1357" spans="1:44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45</v>
      </c>
      <c r="X1357">
        <v>2340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389</v>
      </c>
      <c r="AJ1357">
        <v>382</v>
      </c>
      <c r="AK1357">
        <v>0</v>
      </c>
      <c r="AL1357">
        <f t="shared" si="21"/>
        <v>396</v>
      </c>
      <c r="AM1357">
        <f>IF(OR(Table1[[#This Row],[marital_Married]]=1,Table1[[#This Row],[marital_Together]]=1),1,0)</f>
        <v>0</v>
      </c>
      <c r="AN1357" t="str">
        <f>IF(Table1[[#This Row],[Income]]&gt;=70000,"HIGH INCOME","LOW INCOME")</f>
        <v>LOW INCOME</v>
      </c>
      <c r="AO1357" s="1" t="str">
        <f>IF(Table1[[#This Row],[MNT_TOTAL]]&gt;=900,"HIGH VALUE","LOW VALUE")</f>
        <v>LOW VALUE</v>
      </c>
      <c r="AP13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57" s="1"/>
      <c r="AR1357" s="1"/>
    </row>
    <row r="1358" spans="1:44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35</v>
      </c>
      <c r="X1358">
        <v>2472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37</v>
      </c>
      <c r="AJ1358">
        <v>6</v>
      </c>
      <c r="AK1358">
        <v>1</v>
      </c>
      <c r="AL1358">
        <f t="shared" si="21"/>
        <v>68</v>
      </c>
      <c r="AM1358">
        <f>IF(OR(Table1[[#This Row],[marital_Married]]=1,Table1[[#This Row],[marital_Together]]=1),1,0)</f>
        <v>1</v>
      </c>
      <c r="AN1358" t="str">
        <f>IF(Table1[[#This Row],[Income]]&gt;=70000,"HIGH INCOME","LOW INCOME")</f>
        <v>LOW INCOME</v>
      </c>
      <c r="AO1358" s="1" t="str">
        <f>IF(Table1[[#This Row],[MNT_TOTAL]]&gt;=900,"HIGH VALUE","LOW VALUE")</f>
        <v>LOW VALUE</v>
      </c>
      <c r="AP13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58" s="1"/>
      <c r="AR1358" s="1"/>
    </row>
    <row r="1359" spans="1:44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49</v>
      </c>
      <c r="X1359">
        <v>2528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298</v>
      </c>
      <c r="AJ1359">
        <v>274</v>
      </c>
      <c r="AK1359">
        <v>1</v>
      </c>
      <c r="AL1359">
        <f t="shared" si="21"/>
        <v>322</v>
      </c>
      <c r="AM1359">
        <f>IF(OR(Table1[[#This Row],[marital_Married]]=1,Table1[[#This Row],[marital_Together]]=1),1,0)</f>
        <v>1</v>
      </c>
      <c r="AN1359" t="str">
        <f>IF(Table1[[#This Row],[Income]]&gt;=70000,"HIGH INCOME","LOW INCOME")</f>
        <v>LOW INCOME</v>
      </c>
      <c r="AO1359" s="1" t="str">
        <f>IF(Table1[[#This Row],[MNT_TOTAL]]&gt;=900,"HIGH VALUE","LOW VALUE")</f>
        <v>LOW VALUE</v>
      </c>
      <c r="AP13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59" s="1"/>
      <c r="AR1359" s="1"/>
    </row>
    <row r="1360" spans="1:44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65</v>
      </c>
      <c r="X1360">
        <v>2214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184</v>
      </c>
      <c r="AJ1360">
        <v>146</v>
      </c>
      <c r="AK1360">
        <v>0</v>
      </c>
      <c r="AL1360">
        <f t="shared" si="21"/>
        <v>222</v>
      </c>
      <c r="AM1360">
        <f>IF(OR(Table1[[#This Row],[marital_Married]]=1,Table1[[#This Row],[marital_Together]]=1),1,0)</f>
        <v>0</v>
      </c>
      <c r="AN1360" t="str">
        <f>IF(Table1[[#This Row],[Income]]&gt;=70000,"HIGH INCOME","LOW INCOME")</f>
        <v>LOW INCOME</v>
      </c>
      <c r="AO1360" s="1" t="str">
        <f>IF(Table1[[#This Row],[MNT_TOTAL]]&gt;=900,"HIGH VALUE","LOW VALUE")</f>
        <v>LOW VALUE</v>
      </c>
      <c r="AP13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60" s="1"/>
      <c r="AR1360" s="1"/>
    </row>
    <row r="1361" spans="1:44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64</v>
      </c>
      <c r="X1361">
        <v>2520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149</v>
      </c>
      <c r="AJ1361">
        <v>121</v>
      </c>
      <c r="AK1361">
        <v>0</v>
      </c>
      <c r="AL1361">
        <f t="shared" si="21"/>
        <v>177</v>
      </c>
      <c r="AM1361">
        <f>IF(OR(Table1[[#This Row],[marital_Married]]=1,Table1[[#This Row],[marital_Together]]=1),1,0)</f>
        <v>1</v>
      </c>
      <c r="AN1361" t="str">
        <f>IF(Table1[[#This Row],[Income]]&gt;=70000,"HIGH INCOME","LOW INCOME")</f>
        <v>LOW INCOME</v>
      </c>
      <c r="AO1361" s="1" t="str">
        <f>IF(Table1[[#This Row],[MNT_TOTAL]]&gt;=900,"HIGH VALUE","LOW VALUE")</f>
        <v>LOW VALUE</v>
      </c>
      <c r="AP13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1" s="1"/>
      <c r="AR1361" s="1"/>
    </row>
    <row r="1362" spans="1:44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47</v>
      </c>
      <c r="X1362">
        <v>2790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41</v>
      </c>
      <c r="AJ1362">
        <v>37</v>
      </c>
      <c r="AK1362">
        <v>0</v>
      </c>
      <c r="AL1362">
        <f t="shared" si="21"/>
        <v>45</v>
      </c>
      <c r="AM1362">
        <f>IF(OR(Table1[[#This Row],[marital_Married]]=1,Table1[[#This Row],[marital_Together]]=1),1,0)</f>
        <v>1</v>
      </c>
      <c r="AN1362" t="str">
        <f>IF(Table1[[#This Row],[Income]]&gt;=70000,"HIGH INCOME","LOW INCOME")</f>
        <v>LOW INCOME</v>
      </c>
      <c r="AO1362" s="1" t="str">
        <f>IF(Table1[[#This Row],[MNT_TOTAL]]&gt;=900,"HIGH VALUE","LOW VALUE")</f>
        <v>LOW VALUE</v>
      </c>
      <c r="AP13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2" s="1"/>
      <c r="AR1362" s="1"/>
    </row>
    <row r="1363" spans="1:44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72</v>
      </c>
      <c r="X1363">
        <v>2324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1780</v>
      </c>
      <c r="AJ1363">
        <v>1661</v>
      </c>
      <c r="AK1363">
        <v>2</v>
      </c>
      <c r="AL1363">
        <f t="shared" si="21"/>
        <v>1899</v>
      </c>
      <c r="AM1363">
        <f>IF(OR(Table1[[#This Row],[marital_Married]]=1,Table1[[#This Row],[marital_Together]]=1),1,0)</f>
        <v>1</v>
      </c>
      <c r="AN1363" t="str">
        <f>IF(Table1[[#This Row],[Income]]&gt;=70000,"HIGH INCOME","LOW INCOME")</f>
        <v>HIGH INCOME</v>
      </c>
      <c r="AO1363" s="1" t="str">
        <f>IF(Table1[[#This Row],[MNT_TOTAL]]&gt;=900,"HIGH VALUE","LOW VALUE")</f>
        <v>HIGH VALUE</v>
      </c>
      <c r="AP13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63" s="1"/>
      <c r="AR1363" s="1"/>
    </row>
    <row r="1364" spans="1:44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44</v>
      </c>
      <c r="X1364">
        <v>2472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20</v>
      </c>
      <c r="AJ1364">
        <v>18</v>
      </c>
      <c r="AK1364">
        <v>0</v>
      </c>
      <c r="AL1364">
        <f t="shared" si="21"/>
        <v>22</v>
      </c>
      <c r="AM1364">
        <f>IF(OR(Table1[[#This Row],[marital_Married]]=1,Table1[[#This Row],[marital_Together]]=1),1,0)</f>
        <v>1</v>
      </c>
      <c r="AN1364" t="str">
        <f>IF(Table1[[#This Row],[Income]]&gt;=70000,"HIGH INCOME","LOW INCOME")</f>
        <v>LOW INCOME</v>
      </c>
      <c r="AO1364" s="1" t="str">
        <f>IF(Table1[[#This Row],[MNT_TOTAL]]&gt;=900,"HIGH VALUE","LOW VALUE")</f>
        <v>LOW VALUE</v>
      </c>
      <c r="AP13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4" s="1"/>
      <c r="AR1364" s="1"/>
    </row>
    <row r="1365" spans="1:44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40</v>
      </c>
      <c r="X1365">
        <v>2719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39</v>
      </c>
      <c r="AJ1365">
        <v>37</v>
      </c>
      <c r="AK1365">
        <v>0</v>
      </c>
      <c r="AL1365">
        <f t="shared" si="21"/>
        <v>41</v>
      </c>
      <c r="AM1365">
        <f>IF(OR(Table1[[#This Row],[marital_Married]]=1,Table1[[#This Row],[marital_Together]]=1),1,0)</f>
        <v>1</v>
      </c>
      <c r="AN1365" t="str">
        <f>IF(Table1[[#This Row],[Income]]&gt;=70000,"HIGH INCOME","LOW INCOME")</f>
        <v>LOW INCOME</v>
      </c>
      <c r="AO1365" s="1" t="str">
        <f>IF(Table1[[#This Row],[MNT_TOTAL]]&gt;=900,"HIGH VALUE","LOW VALUE")</f>
        <v>LOW VALUE</v>
      </c>
      <c r="AP13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5" s="1"/>
      <c r="AR1365" s="1"/>
    </row>
    <row r="1366" spans="1:44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41</v>
      </c>
      <c r="X1366">
        <v>2217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1360</v>
      </c>
      <c r="AJ1366">
        <v>1280</v>
      </c>
      <c r="AK1366">
        <v>0</v>
      </c>
      <c r="AL1366">
        <f t="shared" si="21"/>
        <v>1440</v>
      </c>
      <c r="AM1366">
        <f>IF(OR(Table1[[#This Row],[marital_Married]]=1,Table1[[#This Row],[marital_Together]]=1),1,0)</f>
        <v>1</v>
      </c>
      <c r="AN1366" t="str">
        <f>IF(Table1[[#This Row],[Income]]&gt;=70000,"HIGH INCOME","LOW INCOME")</f>
        <v>HIGH INCOME</v>
      </c>
      <c r="AO1366" s="1" t="str">
        <f>IF(Table1[[#This Row],[MNT_TOTAL]]&gt;=900,"HIGH VALUE","LOW VALUE")</f>
        <v>HIGH VALUE</v>
      </c>
      <c r="AP13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66" s="1"/>
      <c r="AR1366" s="1"/>
    </row>
    <row r="1367" spans="1:44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48</v>
      </c>
      <c r="X1367">
        <v>2420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254</v>
      </c>
      <c r="AJ1367">
        <v>183</v>
      </c>
      <c r="AK1367">
        <v>0</v>
      </c>
      <c r="AL1367">
        <f t="shared" si="21"/>
        <v>325</v>
      </c>
      <c r="AM1367">
        <f>IF(OR(Table1[[#This Row],[marital_Married]]=1,Table1[[#This Row],[marital_Together]]=1),1,0)</f>
        <v>1</v>
      </c>
      <c r="AN1367" t="str">
        <f>IF(Table1[[#This Row],[Income]]&gt;=70000,"HIGH INCOME","LOW INCOME")</f>
        <v>LOW INCOME</v>
      </c>
      <c r="AO1367" s="1" t="str">
        <f>IF(Table1[[#This Row],[MNT_TOTAL]]&gt;=900,"HIGH VALUE","LOW VALUE")</f>
        <v>LOW VALUE</v>
      </c>
      <c r="AP13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7" s="1"/>
      <c r="AR1367" s="1"/>
    </row>
    <row r="1368" spans="1:44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47</v>
      </c>
      <c r="X1368">
        <v>2428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59</v>
      </c>
      <c r="AJ1368">
        <v>23</v>
      </c>
      <c r="AK1368">
        <v>0</v>
      </c>
      <c r="AL1368">
        <f t="shared" si="21"/>
        <v>95</v>
      </c>
      <c r="AM1368">
        <f>IF(OR(Table1[[#This Row],[marital_Married]]=1,Table1[[#This Row],[marital_Together]]=1),1,0)</f>
        <v>1</v>
      </c>
      <c r="AN1368" t="str">
        <f>IF(Table1[[#This Row],[Income]]&gt;=70000,"HIGH INCOME","LOW INCOME")</f>
        <v>LOW INCOME</v>
      </c>
      <c r="AO1368" s="1" t="str">
        <f>IF(Table1[[#This Row],[MNT_TOTAL]]&gt;=900,"HIGH VALUE","LOW VALUE")</f>
        <v>LOW VALUE</v>
      </c>
      <c r="AP13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8" s="1"/>
      <c r="AR1368" s="1"/>
    </row>
    <row r="1369" spans="1:44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48</v>
      </c>
      <c r="X1369">
        <v>2278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</v>
      </c>
      <c r="AI1369">
        <v>39</v>
      </c>
      <c r="AJ1369">
        <v>36</v>
      </c>
      <c r="AK1369">
        <v>0</v>
      </c>
      <c r="AL1369">
        <f t="shared" si="21"/>
        <v>42</v>
      </c>
      <c r="AM1369">
        <f>IF(OR(Table1[[#This Row],[marital_Married]]=1,Table1[[#This Row],[marital_Together]]=1),1,0)</f>
        <v>1</v>
      </c>
      <c r="AN1369" t="str">
        <f>IF(Table1[[#This Row],[Income]]&gt;=70000,"HIGH INCOME","LOW INCOME")</f>
        <v>LOW INCOME</v>
      </c>
      <c r="AO1369" s="1" t="str">
        <f>IF(Table1[[#This Row],[MNT_TOTAL]]&gt;=900,"HIGH VALUE","LOW VALUE")</f>
        <v>LOW VALUE</v>
      </c>
      <c r="AP13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69" s="1"/>
      <c r="AR1369" s="1"/>
    </row>
    <row r="1370" spans="1:44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45</v>
      </c>
      <c r="X1370">
        <v>2756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43</v>
      </c>
      <c r="AJ1370">
        <v>14</v>
      </c>
      <c r="AK1370">
        <v>0</v>
      </c>
      <c r="AL1370">
        <f t="shared" si="21"/>
        <v>72</v>
      </c>
      <c r="AM1370">
        <f>IF(OR(Table1[[#This Row],[marital_Married]]=1,Table1[[#This Row],[marital_Together]]=1),1,0)</f>
        <v>0</v>
      </c>
      <c r="AN1370" t="str">
        <f>IF(Table1[[#This Row],[Income]]&gt;=70000,"HIGH INCOME","LOW INCOME")</f>
        <v>LOW INCOME</v>
      </c>
      <c r="AO1370" s="1" t="str">
        <f>IF(Table1[[#This Row],[MNT_TOTAL]]&gt;=900,"HIGH VALUE","LOW VALUE")</f>
        <v>LOW VALUE</v>
      </c>
      <c r="AP13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70" s="1"/>
      <c r="AR1370" s="1"/>
    </row>
    <row r="1371" spans="1:44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48</v>
      </c>
      <c r="X1371">
        <v>2204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20</v>
      </c>
      <c r="AJ1371">
        <v>20</v>
      </c>
      <c r="AK1371">
        <v>0</v>
      </c>
      <c r="AL1371">
        <f t="shared" si="21"/>
        <v>20</v>
      </c>
      <c r="AM1371">
        <f>IF(OR(Table1[[#This Row],[marital_Married]]=1,Table1[[#This Row],[marital_Together]]=1),1,0)</f>
        <v>1</v>
      </c>
      <c r="AN1371" t="str">
        <f>IF(Table1[[#This Row],[Income]]&gt;=70000,"HIGH INCOME","LOW INCOME")</f>
        <v>LOW INCOME</v>
      </c>
      <c r="AO1371" s="1" t="str">
        <f>IF(Table1[[#This Row],[MNT_TOTAL]]&gt;=900,"HIGH VALUE","LOW VALUE")</f>
        <v>LOW VALUE</v>
      </c>
      <c r="AP13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1" s="1"/>
      <c r="AR1371" s="1"/>
    </row>
    <row r="1372" spans="1:44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64</v>
      </c>
      <c r="X1372">
        <v>2493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774</v>
      </c>
      <c r="AJ1372">
        <v>759</v>
      </c>
      <c r="AK1372">
        <v>0</v>
      </c>
      <c r="AL1372">
        <f t="shared" si="21"/>
        <v>789</v>
      </c>
      <c r="AM1372">
        <f>IF(OR(Table1[[#This Row],[marital_Married]]=1,Table1[[#This Row],[marital_Together]]=1),1,0)</f>
        <v>1</v>
      </c>
      <c r="AN1372" t="str">
        <f>IF(Table1[[#This Row],[Income]]&gt;=70000,"HIGH INCOME","LOW INCOME")</f>
        <v>LOW INCOME</v>
      </c>
      <c r="AO1372" s="1" t="str">
        <f>IF(Table1[[#This Row],[MNT_TOTAL]]&gt;=900,"HIGH VALUE","LOW VALUE")</f>
        <v>LOW VALUE</v>
      </c>
      <c r="AP13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2" s="1"/>
      <c r="AR1372" s="1"/>
    </row>
    <row r="1373" spans="1:44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46</v>
      </c>
      <c r="X1373">
        <v>2197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14</v>
      </c>
      <c r="AJ1373">
        <v>13</v>
      </c>
      <c r="AK1373">
        <v>0</v>
      </c>
      <c r="AL1373">
        <f t="shared" si="21"/>
        <v>15</v>
      </c>
      <c r="AM1373">
        <f>IF(OR(Table1[[#This Row],[marital_Married]]=1,Table1[[#This Row],[marital_Together]]=1),1,0)</f>
        <v>0</v>
      </c>
      <c r="AN1373" t="str">
        <f>IF(Table1[[#This Row],[Income]]&gt;=70000,"HIGH INCOME","LOW INCOME")</f>
        <v>LOW INCOME</v>
      </c>
      <c r="AO1373" s="1" t="str">
        <f>IF(Table1[[#This Row],[MNT_TOTAL]]&gt;=900,"HIGH VALUE","LOW VALUE")</f>
        <v>LOW VALUE</v>
      </c>
      <c r="AP13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73" s="1"/>
      <c r="AR1373" s="1"/>
    </row>
    <row r="1374" spans="1:44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48</v>
      </c>
      <c r="X1374">
        <v>2301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57</v>
      </c>
      <c r="AJ1374">
        <v>55</v>
      </c>
      <c r="AK1374">
        <v>0</v>
      </c>
      <c r="AL1374">
        <f t="shared" si="21"/>
        <v>59</v>
      </c>
      <c r="AM1374">
        <f>IF(OR(Table1[[#This Row],[marital_Married]]=1,Table1[[#This Row],[marital_Together]]=1),1,0)</f>
        <v>0</v>
      </c>
      <c r="AN1374" t="str">
        <f>IF(Table1[[#This Row],[Income]]&gt;=70000,"HIGH INCOME","LOW INCOME")</f>
        <v>LOW INCOME</v>
      </c>
      <c r="AO1374" s="1" t="str">
        <f>IF(Table1[[#This Row],[MNT_TOTAL]]&gt;=900,"HIGH VALUE","LOW VALUE")</f>
        <v>LOW VALUE</v>
      </c>
      <c r="AP13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74" s="1"/>
      <c r="AR1374" s="1"/>
    </row>
    <row r="1375" spans="1:44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52</v>
      </c>
      <c r="X1375">
        <v>2593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777</v>
      </c>
      <c r="AJ1375">
        <v>646</v>
      </c>
      <c r="AK1375">
        <v>0</v>
      </c>
      <c r="AL1375">
        <f t="shared" si="21"/>
        <v>908</v>
      </c>
      <c r="AM1375">
        <f>IF(OR(Table1[[#This Row],[marital_Married]]=1,Table1[[#This Row],[marital_Together]]=1),1,0)</f>
        <v>0</v>
      </c>
      <c r="AN1375" t="str">
        <f>IF(Table1[[#This Row],[Income]]&gt;=70000,"HIGH INCOME","LOW INCOME")</f>
        <v>LOW INCOME</v>
      </c>
      <c r="AO1375" s="1" t="str">
        <f>IF(Table1[[#This Row],[MNT_TOTAL]]&gt;=900,"HIGH VALUE","LOW VALUE")</f>
        <v>HIGH VALUE</v>
      </c>
      <c r="AP13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75" s="1"/>
      <c r="AR1375" s="1"/>
    </row>
    <row r="1376" spans="1:44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51</v>
      </c>
      <c r="X1376">
        <v>2725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308</v>
      </c>
      <c r="AJ1376">
        <v>199</v>
      </c>
      <c r="AK1376">
        <v>0</v>
      </c>
      <c r="AL1376">
        <f t="shared" si="21"/>
        <v>417</v>
      </c>
      <c r="AM1376">
        <f>IF(OR(Table1[[#This Row],[marital_Married]]=1,Table1[[#This Row],[marital_Together]]=1),1,0)</f>
        <v>1</v>
      </c>
      <c r="AN1376" t="str">
        <f>IF(Table1[[#This Row],[Income]]&gt;=70000,"HIGH INCOME","LOW INCOME")</f>
        <v>LOW INCOME</v>
      </c>
      <c r="AO1376" s="1" t="str">
        <f>IF(Table1[[#This Row],[MNT_TOTAL]]&gt;=900,"HIGH VALUE","LOW VALUE")</f>
        <v>LOW VALUE</v>
      </c>
      <c r="AP13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6" s="1"/>
      <c r="AR1376" s="1"/>
    </row>
    <row r="1377" spans="1:44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59</v>
      </c>
      <c r="X1377">
        <v>2832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254</v>
      </c>
      <c r="AJ1377">
        <v>219</v>
      </c>
      <c r="AK1377">
        <v>0</v>
      </c>
      <c r="AL1377">
        <f t="shared" si="21"/>
        <v>289</v>
      </c>
      <c r="AM1377">
        <f>IF(OR(Table1[[#This Row],[marital_Married]]=1,Table1[[#This Row],[marital_Together]]=1),1,0)</f>
        <v>1</v>
      </c>
      <c r="AN1377" t="str">
        <f>IF(Table1[[#This Row],[Income]]&gt;=70000,"HIGH INCOME","LOW INCOME")</f>
        <v>LOW INCOME</v>
      </c>
      <c r="AO1377" s="1" t="str">
        <f>IF(Table1[[#This Row],[MNT_TOTAL]]&gt;=900,"HIGH VALUE","LOW VALUE")</f>
        <v>LOW VALUE</v>
      </c>
      <c r="AP13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7" s="1"/>
      <c r="AR1377" s="1"/>
    </row>
    <row r="1378" spans="1:44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48</v>
      </c>
      <c r="X1378">
        <v>2251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712</v>
      </c>
      <c r="AJ1378">
        <v>655</v>
      </c>
      <c r="AK1378">
        <v>0</v>
      </c>
      <c r="AL1378">
        <f t="shared" si="21"/>
        <v>769</v>
      </c>
      <c r="AM1378">
        <f>IF(OR(Table1[[#This Row],[marital_Married]]=1,Table1[[#This Row],[marital_Together]]=1),1,0)</f>
        <v>1</v>
      </c>
      <c r="AN1378" t="str">
        <f>IF(Table1[[#This Row],[Income]]&gt;=70000,"HIGH INCOME","LOW INCOME")</f>
        <v>LOW INCOME</v>
      </c>
      <c r="AO1378" s="1" t="str">
        <f>IF(Table1[[#This Row],[MNT_TOTAL]]&gt;=900,"HIGH VALUE","LOW VALUE")</f>
        <v>LOW VALUE</v>
      </c>
      <c r="AP13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8" s="1"/>
      <c r="AR1378" s="1"/>
    </row>
    <row r="1379" spans="1:44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67</v>
      </c>
      <c r="X1379">
        <v>2228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147</v>
      </c>
      <c r="AJ1379">
        <v>106</v>
      </c>
      <c r="AK1379">
        <v>0</v>
      </c>
      <c r="AL1379">
        <f t="shared" si="21"/>
        <v>188</v>
      </c>
      <c r="AM1379">
        <f>IF(OR(Table1[[#This Row],[marital_Married]]=1,Table1[[#This Row],[marital_Together]]=1),1,0)</f>
        <v>1</v>
      </c>
      <c r="AN1379" t="str">
        <f>IF(Table1[[#This Row],[Income]]&gt;=70000,"HIGH INCOME","LOW INCOME")</f>
        <v>LOW INCOME</v>
      </c>
      <c r="AO1379" s="1" t="str">
        <f>IF(Table1[[#This Row],[MNT_TOTAL]]&gt;=900,"HIGH VALUE","LOW VALUE")</f>
        <v>LOW VALUE</v>
      </c>
      <c r="AP13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79" s="1"/>
      <c r="AR1379" s="1"/>
    </row>
    <row r="1380" spans="1:44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63</v>
      </c>
      <c r="X1380">
        <v>2844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265</v>
      </c>
      <c r="AJ1380">
        <v>176</v>
      </c>
      <c r="AK1380">
        <v>0</v>
      </c>
      <c r="AL1380">
        <f t="shared" si="21"/>
        <v>354</v>
      </c>
      <c r="AM1380">
        <f>IF(OR(Table1[[#This Row],[marital_Married]]=1,Table1[[#This Row],[marital_Together]]=1),1,0)</f>
        <v>0</v>
      </c>
      <c r="AN1380" t="str">
        <f>IF(Table1[[#This Row],[Income]]&gt;=70000,"HIGH INCOME","LOW INCOME")</f>
        <v>LOW INCOME</v>
      </c>
      <c r="AO1380" s="1" t="str">
        <f>IF(Table1[[#This Row],[MNT_TOTAL]]&gt;=900,"HIGH VALUE","LOW VALUE")</f>
        <v>LOW VALUE</v>
      </c>
      <c r="AP13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80" s="1"/>
      <c r="AR1380" s="1"/>
    </row>
    <row r="1381" spans="1:44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50</v>
      </c>
      <c r="X1381">
        <v>2784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713</v>
      </c>
      <c r="AJ1381">
        <v>699</v>
      </c>
      <c r="AK1381">
        <v>0</v>
      </c>
      <c r="AL1381">
        <f t="shared" si="21"/>
        <v>727</v>
      </c>
      <c r="AM1381">
        <f>IF(OR(Table1[[#This Row],[marital_Married]]=1,Table1[[#This Row],[marital_Together]]=1),1,0)</f>
        <v>1</v>
      </c>
      <c r="AN1381" t="str">
        <f>IF(Table1[[#This Row],[Income]]&gt;=70000,"HIGH INCOME","LOW INCOME")</f>
        <v>LOW INCOME</v>
      </c>
      <c r="AO1381" s="1" t="str">
        <f>IF(Table1[[#This Row],[MNT_TOTAL]]&gt;=900,"HIGH VALUE","LOW VALUE")</f>
        <v>LOW VALUE</v>
      </c>
      <c r="AP13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1" s="1"/>
      <c r="AR1381" s="1"/>
    </row>
    <row r="1382" spans="1:44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53</v>
      </c>
      <c r="X1382">
        <v>2850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117</v>
      </c>
      <c r="AJ1382">
        <v>88</v>
      </c>
      <c r="AK1382">
        <v>0</v>
      </c>
      <c r="AL1382">
        <f t="shared" si="21"/>
        <v>146</v>
      </c>
      <c r="AM1382">
        <f>IF(OR(Table1[[#This Row],[marital_Married]]=1,Table1[[#This Row],[marital_Together]]=1),1,0)</f>
        <v>1</v>
      </c>
      <c r="AN1382" t="str">
        <f>IF(Table1[[#This Row],[Income]]&gt;=70000,"HIGH INCOME","LOW INCOME")</f>
        <v>LOW INCOME</v>
      </c>
      <c r="AO1382" s="1" t="str">
        <f>IF(Table1[[#This Row],[MNT_TOTAL]]&gt;=900,"HIGH VALUE","LOW VALUE")</f>
        <v>LOW VALUE</v>
      </c>
      <c r="AP13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2" s="1"/>
      <c r="AR1382" s="1"/>
    </row>
    <row r="1383" spans="1:44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69</v>
      </c>
      <c r="X1383">
        <v>2603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304</v>
      </c>
      <c r="AJ1383">
        <v>289</v>
      </c>
      <c r="AK1383">
        <v>0</v>
      </c>
      <c r="AL1383">
        <f t="shared" si="21"/>
        <v>319</v>
      </c>
      <c r="AM1383">
        <f>IF(OR(Table1[[#This Row],[marital_Married]]=1,Table1[[#This Row],[marital_Together]]=1),1,0)</f>
        <v>1</v>
      </c>
      <c r="AN1383" t="str">
        <f>IF(Table1[[#This Row],[Income]]&gt;=70000,"HIGH INCOME","LOW INCOME")</f>
        <v>LOW INCOME</v>
      </c>
      <c r="AO1383" s="1" t="str">
        <f>IF(Table1[[#This Row],[MNT_TOTAL]]&gt;=900,"HIGH VALUE","LOW VALUE")</f>
        <v>LOW VALUE</v>
      </c>
      <c r="AP13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3" s="1"/>
      <c r="AR1383" s="1"/>
    </row>
    <row r="1384" spans="1:44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67</v>
      </c>
      <c r="X1384">
        <v>2353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751</v>
      </c>
      <c r="AJ1384">
        <v>708</v>
      </c>
      <c r="AK1384">
        <v>0</v>
      </c>
      <c r="AL1384">
        <f t="shared" si="21"/>
        <v>794</v>
      </c>
      <c r="AM1384">
        <f>IF(OR(Table1[[#This Row],[marital_Married]]=1,Table1[[#This Row],[marital_Together]]=1),1,0)</f>
        <v>1</v>
      </c>
      <c r="AN1384" t="str">
        <f>IF(Table1[[#This Row],[Income]]&gt;=70000,"HIGH INCOME","LOW INCOME")</f>
        <v>LOW INCOME</v>
      </c>
      <c r="AO1384" s="1" t="str">
        <f>IF(Table1[[#This Row],[MNT_TOTAL]]&gt;=900,"HIGH VALUE","LOW VALUE")</f>
        <v>LOW VALUE</v>
      </c>
      <c r="AP13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4" s="1"/>
      <c r="AR1384" s="1"/>
    </row>
    <row r="1385" spans="1:44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70</v>
      </c>
      <c r="X1385">
        <v>2818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437</v>
      </c>
      <c r="AJ1385">
        <v>420</v>
      </c>
      <c r="AK1385">
        <v>0</v>
      </c>
      <c r="AL1385">
        <f t="shared" si="21"/>
        <v>454</v>
      </c>
      <c r="AM1385">
        <f>IF(OR(Table1[[#This Row],[marital_Married]]=1,Table1[[#This Row],[marital_Together]]=1),1,0)</f>
        <v>1</v>
      </c>
      <c r="AN1385" t="str">
        <f>IF(Table1[[#This Row],[Income]]&gt;=70000,"HIGH INCOME","LOW INCOME")</f>
        <v>LOW INCOME</v>
      </c>
      <c r="AO1385" s="1" t="str">
        <f>IF(Table1[[#This Row],[MNT_TOTAL]]&gt;=900,"HIGH VALUE","LOW VALUE")</f>
        <v>LOW VALUE</v>
      </c>
      <c r="AP13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5" s="1"/>
      <c r="AR1385" s="1"/>
    </row>
    <row r="1386" spans="1:44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67</v>
      </c>
      <c r="X1386">
        <v>2820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121</v>
      </c>
      <c r="AJ1386">
        <v>90</v>
      </c>
      <c r="AK1386">
        <v>0</v>
      </c>
      <c r="AL1386">
        <f t="shared" si="21"/>
        <v>152</v>
      </c>
      <c r="AM1386">
        <f>IF(OR(Table1[[#This Row],[marital_Married]]=1,Table1[[#This Row],[marital_Together]]=1),1,0)</f>
        <v>0</v>
      </c>
      <c r="AN1386" t="str">
        <f>IF(Table1[[#This Row],[Income]]&gt;=70000,"HIGH INCOME","LOW INCOME")</f>
        <v>LOW INCOME</v>
      </c>
      <c r="AO1386" s="1" t="str">
        <f>IF(Table1[[#This Row],[MNT_TOTAL]]&gt;=900,"HIGH VALUE","LOW VALUE")</f>
        <v>LOW VALUE</v>
      </c>
      <c r="AP13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86" s="1"/>
      <c r="AR1386" s="1"/>
    </row>
    <row r="1387" spans="1:44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43</v>
      </c>
      <c r="X1387">
        <v>2798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782</v>
      </c>
      <c r="AJ1387">
        <v>767</v>
      </c>
      <c r="AK1387">
        <v>0</v>
      </c>
      <c r="AL1387">
        <f t="shared" si="21"/>
        <v>797</v>
      </c>
      <c r="AM1387">
        <f>IF(OR(Table1[[#This Row],[marital_Married]]=1,Table1[[#This Row],[marital_Together]]=1),1,0)</f>
        <v>1</v>
      </c>
      <c r="AN1387" t="str">
        <f>IF(Table1[[#This Row],[Income]]&gt;=70000,"HIGH INCOME","LOW INCOME")</f>
        <v>LOW INCOME</v>
      </c>
      <c r="AO1387" s="1" t="str">
        <f>IF(Table1[[#This Row],[MNT_TOTAL]]&gt;=900,"HIGH VALUE","LOW VALUE")</f>
        <v>LOW VALUE</v>
      </c>
      <c r="AP13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7" s="1"/>
      <c r="AR1387" s="1"/>
    </row>
    <row r="1388" spans="1:44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0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1</v>
      </c>
      <c r="W1388">
        <v>48</v>
      </c>
      <c r="X1388">
        <v>2564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1610</v>
      </c>
      <c r="AJ1388">
        <v>1530</v>
      </c>
      <c r="AK1388">
        <v>3</v>
      </c>
      <c r="AL1388">
        <f t="shared" si="21"/>
        <v>1690</v>
      </c>
      <c r="AM1388">
        <f>IF(OR(Table1[[#This Row],[marital_Married]]=1,Table1[[#This Row],[marital_Together]]=1),1,0)</f>
        <v>1</v>
      </c>
      <c r="AN1388" t="str">
        <f>IF(Table1[[#This Row],[Income]]&gt;=70000,"HIGH INCOME","LOW INCOME")</f>
        <v>HIGH INCOME</v>
      </c>
      <c r="AO1388" s="1" t="str">
        <f>IF(Table1[[#This Row],[MNT_TOTAL]]&gt;=900,"HIGH VALUE","LOW VALUE")</f>
        <v>HIGH VALUE</v>
      </c>
      <c r="AP13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88" s="1"/>
      <c r="AR1388" s="1"/>
    </row>
    <row r="1389" spans="1:44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51</v>
      </c>
      <c r="X1389">
        <v>2290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16</v>
      </c>
      <c r="AJ1389">
        <v>12</v>
      </c>
      <c r="AK1389">
        <v>0</v>
      </c>
      <c r="AL1389">
        <f t="shared" si="21"/>
        <v>20</v>
      </c>
      <c r="AM1389">
        <f>IF(OR(Table1[[#This Row],[marital_Married]]=1,Table1[[#This Row],[marital_Together]]=1),1,0)</f>
        <v>1</v>
      </c>
      <c r="AN1389" t="str">
        <f>IF(Table1[[#This Row],[Income]]&gt;=70000,"HIGH INCOME","LOW INCOME")</f>
        <v>LOW INCOME</v>
      </c>
      <c r="AO1389" s="1" t="str">
        <f>IF(Table1[[#This Row],[MNT_TOTAL]]&gt;=900,"HIGH VALUE","LOW VALUE")</f>
        <v>LOW VALUE</v>
      </c>
      <c r="AP13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89" s="1"/>
      <c r="AR1389" s="1"/>
    </row>
    <row r="1390" spans="1:44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1</v>
      </c>
      <c r="W1390">
        <v>76</v>
      </c>
      <c r="X1390">
        <v>2317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1402</v>
      </c>
      <c r="AJ1390">
        <v>1376</v>
      </c>
      <c r="AK1390">
        <v>1</v>
      </c>
      <c r="AL1390">
        <f t="shared" si="21"/>
        <v>1428</v>
      </c>
      <c r="AM1390">
        <f>IF(OR(Table1[[#This Row],[marital_Married]]=1,Table1[[#This Row],[marital_Together]]=1),1,0)</f>
        <v>1</v>
      </c>
      <c r="AN1390" t="str">
        <f>IF(Table1[[#This Row],[Income]]&gt;=70000,"HIGH INCOME","LOW INCOME")</f>
        <v>HIGH INCOME</v>
      </c>
      <c r="AO1390" s="1" t="str">
        <f>IF(Table1[[#This Row],[MNT_TOTAL]]&gt;=900,"HIGH VALUE","LOW VALUE")</f>
        <v>HIGH VALUE</v>
      </c>
      <c r="AP13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390" s="1"/>
      <c r="AR1390" s="1"/>
    </row>
    <row r="1391" spans="1:44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30</v>
      </c>
      <c r="X1391">
        <v>2660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154</v>
      </c>
      <c r="AJ1391">
        <v>99</v>
      </c>
      <c r="AK1391">
        <v>0</v>
      </c>
      <c r="AL1391">
        <f t="shared" si="21"/>
        <v>209</v>
      </c>
      <c r="AM1391">
        <f>IF(OR(Table1[[#This Row],[marital_Married]]=1,Table1[[#This Row],[marital_Together]]=1),1,0)</f>
        <v>0</v>
      </c>
      <c r="AN1391" t="str">
        <f>IF(Table1[[#This Row],[Income]]&gt;=70000,"HIGH INCOME","LOW INCOME")</f>
        <v>LOW INCOME</v>
      </c>
      <c r="AO1391" s="1" t="str">
        <f>IF(Table1[[#This Row],[MNT_TOTAL]]&gt;=900,"HIGH VALUE","LOW VALUE")</f>
        <v>LOW VALUE</v>
      </c>
      <c r="AP13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91" s="1"/>
      <c r="AR1391" s="1"/>
    </row>
    <row r="1392" spans="1:44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41</v>
      </c>
      <c r="X1392">
        <v>2543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445</v>
      </c>
      <c r="AJ1392">
        <v>345</v>
      </c>
      <c r="AK1392">
        <v>0</v>
      </c>
      <c r="AL1392">
        <f t="shared" si="21"/>
        <v>545</v>
      </c>
      <c r="AM1392">
        <f>IF(OR(Table1[[#This Row],[marital_Married]]=1,Table1[[#This Row],[marital_Together]]=1),1,0)</f>
        <v>0</v>
      </c>
      <c r="AN1392" t="str">
        <f>IF(Table1[[#This Row],[Income]]&gt;=70000,"HIGH INCOME","LOW INCOME")</f>
        <v>LOW INCOME</v>
      </c>
      <c r="AO1392" s="1" t="str">
        <f>IF(Table1[[#This Row],[MNT_TOTAL]]&gt;=900,"HIGH VALUE","LOW VALUE")</f>
        <v>LOW VALUE</v>
      </c>
      <c r="AP13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92" s="1"/>
      <c r="AR1392" s="1"/>
    </row>
    <row r="1393" spans="1:44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2688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50</v>
      </c>
      <c r="AJ1393">
        <v>4</v>
      </c>
      <c r="AK1393">
        <v>0</v>
      </c>
      <c r="AL1393">
        <f t="shared" si="21"/>
        <v>96</v>
      </c>
      <c r="AM1393">
        <f>IF(OR(Table1[[#This Row],[marital_Married]]=1,Table1[[#This Row],[marital_Together]]=1),1,0)</f>
        <v>1</v>
      </c>
      <c r="AN1393" t="str">
        <f>IF(Table1[[#This Row],[Income]]&gt;=70000,"HIGH INCOME","LOW INCOME")</f>
        <v>LOW INCOME</v>
      </c>
      <c r="AO1393" s="1" t="str">
        <f>IF(Table1[[#This Row],[MNT_TOTAL]]&gt;=900,"HIGH VALUE","LOW VALUE")</f>
        <v>LOW VALUE</v>
      </c>
      <c r="AP13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3" s="1"/>
      <c r="AR1393" s="1"/>
    </row>
    <row r="1394" spans="1:44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72</v>
      </c>
      <c r="X1394">
        <v>2285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181</v>
      </c>
      <c r="AJ1394">
        <v>140</v>
      </c>
      <c r="AK1394">
        <v>0</v>
      </c>
      <c r="AL1394">
        <f t="shared" si="21"/>
        <v>222</v>
      </c>
      <c r="AM1394">
        <f>IF(OR(Table1[[#This Row],[marital_Married]]=1,Table1[[#This Row],[marital_Together]]=1),1,0)</f>
        <v>1</v>
      </c>
      <c r="AN1394" t="str">
        <f>IF(Table1[[#This Row],[Income]]&gt;=70000,"HIGH INCOME","LOW INCOME")</f>
        <v>LOW INCOME</v>
      </c>
      <c r="AO1394" s="1" t="str">
        <f>IF(Table1[[#This Row],[MNT_TOTAL]]&gt;=900,"HIGH VALUE","LOW VALUE")</f>
        <v>LOW VALUE</v>
      </c>
      <c r="AP13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4" s="1"/>
      <c r="AR1394" s="1"/>
    </row>
    <row r="1395" spans="1:44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48</v>
      </c>
      <c r="X1395">
        <v>2264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44</v>
      </c>
      <c r="AJ1395">
        <v>27</v>
      </c>
      <c r="AK1395">
        <v>0</v>
      </c>
      <c r="AL1395">
        <f t="shared" si="21"/>
        <v>61</v>
      </c>
      <c r="AM1395">
        <f>IF(OR(Table1[[#This Row],[marital_Married]]=1,Table1[[#This Row],[marital_Together]]=1),1,0)</f>
        <v>1</v>
      </c>
      <c r="AN1395" t="str">
        <f>IF(Table1[[#This Row],[Income]]&gt;=70000,"HIGH INCOME","LOW INCOME")</f>
        <v>LOW INCOME</v>
      </c>
      <c r="AO1395" s="1" t="str">
        <f>IF(Table1[[#This Row],[MNT_TOTAL]]&gt;=900,"HIGH VALUE","LOW VALUE")</f>
        <v>LOW VALUE</v>
      </c>
      <c r="AP13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5" s="1"/>
      <c r="AR1395" s="1"/>
    </row>
    <row r="1396" spans="1:44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47</v>
      </c>
      <c r="X1396">
        <v>2311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43</v>
      </c>
      <c r="AJ1396">
        <v>42</v>
      </c>
      <c r="AK1396">
        <v>0</v>
      </c>
      <c r="AL1396">
        <f t="shared" si="21"/>
        <v>44</v>
      </c>
      <c r="AM1396">
        <f>IF(OR(Table1[[#This Row],[marital_Married]]=1,Table1[[#This Row],[marital_Together]]=1),1,0)</f>
        <v>1</v>
      </c>
      <c r="AN1396" t="str">
        <f>IF(Table1[[#This Row],[Income]]&gt;=70000,"HIGH INCOME","LOW INCOME")</f>
        <v>LOW INCOME</v>
      </c>
      <c r="AO1396" s="1" t="str">
        <f>IF(Table1[[#This Row],[MNT_TOTAL]]&gt;=900,"HIGH VALUE","LOW VALUE")</f>
        <v>LOW VALUE</v>
      </c>
      <c r="AP13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6" s="1"/>
      <c r="AR1396" s="1"/>
    </row>
    <row r="1397" spans="1:44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48</v>
      </c>
      <c r="X1397">
        <v>2238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8</v>
      </c>
      <c r="AJ1397">
        <v>8</v>
      </c>
      <c r="AK1397">
        <v>0</v>
      </c>
      <c r="AL1397">
        <f t="shared" si="21"/>
        <v>8</v>
      </c>
      <c r="AM1397">
        <f>IF(OR(Table1[[#This Row],[marital_Married]]=1,Table1[[#This Row],[marital_Together]]=1),1,0)</f>
        <v>1</v>
      </c>
      <c r="AN1397" t="str">
        <f>IF(Table1[[#This Row],[Income]]&gt;=70000,"HIGH INCOME","LOW INCOME")</f>
        <v>LOW INCOME</v>
      </c>
      <c r="AO1397" s="1" t="str">
        <f>IF(Table1[[#This Row],[MNT_TOTAL]]&gt;=900,"HIGH VALUE","LOW VALUE")</f>
        <v>LOW VALUE</v>
      </c>
      <c r="AP13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397" s="1"/>
      <c r="AR1397" s="1"/>
    </row>
    <row r="1398" spans="1:44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48</v>
      </c>
      <c r="X1398">
        <v>2418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571</v>
      </c>
      <c r="AJ1398">
        <v>325</v>
      </c>
      <c r="AK1398">
        <v>0</v>
      </c>
      <c r="AL1398">
        <f t="shared" si="21"/>
        <v>817</v>
      </c>
      <c r="AM1398">
        <f>IF(OR(Table1[[#This Row],[marital_Married]]=1,Table1[[#This Row],[marital_Together]]=1),1,0)</f>
        <v>0</v>
      </c>
      <c r="AN1398" t="str">
        <f>IF(Table1[[#This Row],[Income]]&gt;=70000,"HIGH INCOME","LOW INCOME")</f>
        <v>LOW INCOME</v>
      </c>
      <c r="AO1398" s="1" t="str">
        <f>IF(Table1[[#This Row],[MNT_TOTAL]]&gt;=900,"HIGH VALUE","LOW VALUE")</f>
        <v>LOW VALUE</v>
      </c>
      <c r="AP13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98" s="1"/>
      <c r="AR1398" s="1"/>
    </row>
    <row r="1399" spans="1:44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2754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1270</v>
      </c>
      <c r="AJ1399">
        <v>1169</v>
      </c>
      <c r="AK1399">
        <v>1</v>
      </c>
      <c r="AL1399">
        <f t="shared" si="21"/>
        <v>1371</v>
      </c>
      <c r="AM1399">
        <f>IF(OR(Table1[[#This Row],[marital_Married]]=1,Table1[[#This Row],[marital_Together]]=1),1,0)</f>
        <v>0</v>
      </c>
      <c r="AN1399" t="str">
        <f>IF(Table1[[#This Row],[Income]]&gt;=70000,"HIGH INCOME","LOW INCOME")</f>
        <v>LOW INCOME</v>
      </c>
      <c r="AO1399" s="1" t="str">
        <f>IF(Table1[[#This Row],[MNT_TOTAL]]&gt;=900,"HIGH VALUE","LOW VALUE")</f>
        <v>HIGH VALUE</v>
      </c>
      <c r="AP13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399" s="1"/>
      <c r="AR1399" s="1"/>
    </row>
    <row r="1400" spans="1:44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51</v>
      </c>
      <c r="X1400">
        <v>2292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39</v>
      </c>
      <c r="AJ1400">
        <v>36</v>
      </c>
      <c r="AK1400">
        <v>0</v>
      </c>
      <c r="AL1400">
        <f t="shared" si="21"/>
        <v>42</v>
      </c>
      <c r="AM1400">
        <f>IF(OR(Table1[[#This Row],[marital_Married]]=1,Table1[[#This Row],[marital_Together]]=1),1,0)</f>
        <v>1</v>
      </c>
      <c r="AN1400" t="str">
        <f>IF(Table1[[#This Row],[Income]]&gt;=70000,"HIGH INCOME","LOW INCOME")</f>
        <v>LOW INCOME</v>
      </c>
      <c r="AO1400" s="1" t="str">
        <f>IF(Table1[[#This Row],[MNT_TOTAL]]&gt;=900,"HIGH VALUE","LOW VALUE")</f>
        <v>LOW VALUE</v>
      </c>
      <c r="AP14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0" s="1"/>
      <c r="AR1400" s="1"/>
    </row>
    <row r="1401" spans="1:44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61</v>
      </c>
      <c r="X1401">
        <v>2707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41</v>
      </c>
      <c r="AJ1401">
        <v>22</v>
      </c>
      <c r="AK1401">
        <v>0</v>
      </c>
      <c r="AL1401">
        <f t="shared" si="21"/>
        <v>60</v>
      </c>
      <c r="AM1401">
        <f>IF(OR(Table1[[#This Row],[marital_Married]]=1,Table1[[#This Row],[marital_Together]]=1),1,0)</f>
        <v>1</v>
      </c>
      <c r="AN1401" t="str">
        <f>IF(Table1[[#This Row],[Income]]&gt;=70000,"HIGH INCOME","LOW INCOME")</f>
        <v>LOW INCOME</v>
      </c>
      <c r="AO1401" s="1" t="str">
        <f>IF(Table1[[#This Row],[MNT_TOTAL]]&gt;=900,"HIGH VALUE","LOW VALUE")</f>
        <v>LOW VALUE</v>
      </c>
      <c r="AP14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1" s="1"/>
      <c r="AR1401" s="1"/>
    </row>
    <row r="1402" spans="1:44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50</v>
      </c>
      <c r="X1402">
        <v>2580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66</v>
      </c>
      <c r="AJ1402">
        <v>54</v>
      </c>
      <c r="AK1402">
        <v>0</v>
      </c>
      <c r="AL1402">
        <f t="shared" si="21"/>
        <v>78</v>
      </c>
      <c r="AM1402">
        <f>IF(OR(Table1[[#This Row],[marital_Married]]=1,Table1[[#This Row],[marital_Together]]=1),1,0)</f>
        <v>1</v>
      </c>
      <c r="AN1402" t="str">
        <f>IF(Table1[[#This Row],[Income]]&gt;=70000,"HIGH INCOME","LOW INCOME")</f>
        <v>LOW INCOME</v>
      </c>
      <c r="AO1402" s="1" t="str">
        <f>IF(Table1[[#This Row],[MNT_TOTAL]]&gt;=900,"HIGH VALUE","LOW VALUE")</f>
        <v>LOW VALUE</v>
      </c>
      <c r="AP14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2" s="1"/>
      <c r="AR1402" s="1"/>
    </row>
    <row r="1403" spans="1:44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46</v>
      </c>
      <c r="X1403">
        <v>2601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16</v>
      </c>
      <c r="AJ1403">
        <v>9</v>
      </c>
      <c r="AK1403">
        <v>0</v>
      </c>
      <c r="AL1403">
        <f t="shared" si="21"/>
        <v>23</v>
      </c>
      <c r="AM1403">
        <f>IF(OR(Table1[[#This Row],[marital_Married]]=1,Table1[[#This Row],[marital_Together]]=1),1,0)</f>
        <v>1</v>
      </c>
      <c r="AN1403" t="str">
        <f>IF(Table1[[#This Row],[Income]]&gt;=70000,"HIGH INCOME","LOW INCOME")</f>
        <v>LOW INCOME</v>
      </c>
      <c r="AO1403" s="1" t="str">
        <f>IF(Table1[[#This Row],[MNT_TOTAL]]&gt;=900,"HIGH VALUE","LOW VALUE")</f>
        <v>LOW VALUE</v>
      </c>
      <c r="AP14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3" s="1"/>
      <c r="AR1403" s="1"/>
    </row>
    <row r="1404" spans="1:44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48</v>
      </c>
      <c r="X1404">
        <v>2445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18</v>
      </c>
      <c r="AJ1404">
        <v>17</v>
      </c>
      <c r="AK1404">
        <v>0</v>
      </c>
      <c r="AL1404">
        <f t="shared" si="21"/>
        <v>19</v>
      </c>
      <c r="AM1404">
        <f>IF(OR(Table1[[#This Row],[marital_Married]]=1,Table1[[#This Row],[marital_Together]]=1),1,0)</f>
        <v>1</v>
      </c>
      <c r="AN1404" t="str">
        <f>IF(Table1[[#This Row],[Income]]&gt;=70000,"HIGH INCOME","LOW INCOME")</f>
        <v>LOW INCOME</v>
      </c>
      <c r="AO1404" s="1" t="str">
        <f>IF(Table1[[#This Row],[MNT_TOTAL]]&gt;=900,"HIGH VALUE","LOW VALUE")</f>
        <v>LOW VALUE</v>
      </c>
      <c r="AP14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4" s="1"/>
      <c r="AR1404" s="1"/>
    </row>
    <row r="1405" spans="1:44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62</v>
      </c>
      <c r="X1405">
        <v>2250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48</v>
      </c>
      <c r="AJ1405">
        <v>35</v>
      </c>
      <c r="AK1405">
        <v>0</v>
      </c>
      <c r="AL1405">
        <f t="shared" si="21"/>
        <v>61</v>
      </c>
      <c r="AM1405">
        <f>IF(OR(Table1[[#This Row],[marital_Married]]=1,Table1[[#This Row],[marital_Together]]=1),1,0)</f>
        <v>0</v>
      </c>
      <c r="AN1405" t="str">
        <f>IF(Table1[[#This Row],[Income]]&gt;=70000,"HIGH INCOME","LOW INCOME")</f>
        <v>LOW INCOME</v>
      </c>
      <c r="AO1405" s="1" t="str">
        <f>IF(Table1[[#This Row],[MNT_TOTAL]]&gt;=900,"HIGH VALUE","LOW VALUE")</f>
        <v>LOW VALUE</v>
      </c>
      <c r="AP14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05" s="1"/>
      <c r="AR1405" s="1"/>
    </row>
    <row r="1406" spans="1:44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48</v>
      </c>
      <c r="X1406">
        <v>2641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375</v>
      </c>
      <c r="AJ1406">
        <v>301</v>
      </c>
      <c r="AK1406">
        <v>0</v>
      </c>
      <c r="AL1406">
        <f t="shared" si="21"/>
        <v>449</v>
      </c>
      <c r="AM1406">
        <f>IF(OR(Table1[[#This Row],[marital_Married]]=1,Table1[[#This Row],[marital_Together]]=1),1,0)</f>
        <v>0</v>
      </c>
      <c r="AN1406" t="str">
        <f>IF(Table1[[#This Row],[Income]]&gt;=70000,"HIGH INCOME","LOW INCOME")</f>
        <v>LOW INCOME</v>
      </c>
      <c r="AO1406" s="1" t="str">
        <f>IF(Table1[[#This Row],[MNT_TOTAL]]&gt;=900,"HIGH VALUE","LOW VALUE")</f>
        <v>LOW VALUE</v>
      </c>
      <c r="AP14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06" s="1"/>
      <c r="AR1406" s="1"/>
    </row>
    <row r="1407" spans="1:44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37</v>
      </c>
      <c r="X1407">
        <v>2609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27</v>
      </c>
      <c r="AJ1407">
        <v>17</v>
      </c>
      <c r="AK1407">
        <v>0</v>
      </c>
      <c r="AL1407">
        <f t="shared" si="21"/>
        <v>37</v>
      </c>
      <c r="AM1407">
        <f>IF(OR(Table1[[#This Row],[marital_Married]]=1,Table1[[#This Row],[marital_Together]]=1),1,0)</f>
        <v>1</v>
      </c>
      <c r="AN1407" t="str">
        <f>IF(Table1[[#This Row],[Income]]&gt;=70000,"HIGH INCOME","LOW INCOME")</f>
        <v>LOW INCOME</v>
      </c>
      <c r="AO1407" s="1" t="str">
        <f>IF(Table1[[#This Row],[MNT_TOTAL]]&gt;=900,"HIGH VALUE","LOW VALUE")</f>
        <v>LOW VALUE</v>
      </c>
      <c r="AP14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07" s="1"/>
      <c r="AR1407" s="1"/>
    </row>
    <row r="1408" spans="1:44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47</v>
      </c>
      <c r="X1408">
        <v>2295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28</v>
      </c>
      <c r="AJ1408">
        <v>18</v>
      </c>
      <c r="AK1408">
        <v>0</v>
      </c>
      <c r="AL1408">
        <f t="shared" si="21"/>
        <v>38</v>
      </c>
      <c r="AM1408">
        <f>IF(OR(Table1[[#This Row],[marital_Married]]=1,Table1[[#This Row],[marital_Together]]=1),1,0)</f>
        <v>0</v>
      </c>
      <c r="AN1408" t="str">
        <f>IF(Table1[[#This Row],[Income]]&gt;=70000,"HIGH INCOME","LOW INCOME")</f>
        <v>LOW INCOME</v>
      </c>
      <c r="AO1408" s="1" t="str">
        <f>IF(Table1[[#This Row],[MNT_TOTAL]]&gt;=900,"HIGH VALUE","LOW VALUE")</f>
        <v>LOW VALUE</v>
      </c>
      <c r="AP14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08" s="1"/>
      <c r="AR1408" s="1"/>
    </row>
    <row r="1409" spans="1:44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35</v>
      </c>
      <c r="X1409">
        <v>2351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1089</v>
      </c>
      <c r="AJ1409">
        <v>1047</v>
      </c>
      <c r="AK1409">
        <v>2</v>
      </c>
      <c r="AL1409">
        <f t="shared" si="21"/>
        <v>1131</v>
      </c>
      <c r="AM1409">
        <f>IF(OR(Table1[[#This Row],[marital_Married]]=1,Table1[[#This Row],[marital_Together]]=1),1,0)</f>
        <v>1</v>
      </c>
      <c r="AN1409" t="str">
        <f>IF(Table1[[#This Row],[Income]]&gt;=70000,"HIGH INCOME","LOW INCOME")</f>
        <v>HIGH INCOME</v>
      </c>
      <c r="AO1409" s="1" t="str">
        <f>IF(Table1[[#This Row],[MNT_TOTAL]]&gt;=900,"HIGH VALUE","LOW VALUE")</f>
        <v>HIGH VALUE</v>
      </c>
      <c r="AP14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09" s="1"/>
      <c r="AR1409" s="1"/>
    </row>
    <row r="1410" spans="1:44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47</v>
      </c>
      <c r="X1410">
        <v>2347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32</v>
      </c>
      <c r="AJ1410">
        <v>30</v>
      </c>
      <c r="AK1410">
        <v>0</v>
      </c>
      <c r="AL1410">
        <f t="shared" ref="AL1410:AL1473" si="22">SUM(E1410:J1410)</f>
        <v>34</v>
      </c>
      <c r="AM1410">
        <f>IF(OR(Table1[[#This Row],[marital_Married]]=1,Table1[[#This Row],[marital_Together]]=1),1,0)</f>
        <v>0</v>
      </c>
      <c r="AN1410" t="str">
        <f>IF(Table1[[#This Row],[Income]]&gt;=70000,"HIGH INCOME","LOW INCOME")</f>
        <v>LOW INCOME</v>
      </c>
      <c r="AO1410" s="1" t="str">
        <f>IF(Table1[[#This Row],[MNT_TOTAL]]&gt;=900,"HIGH VALUE","LOW VALUE")</f>
        <v>LOW VALUE</v>
      </c>
      <c r="AP14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10" s="1"/>
      <c r="AR1410" s="1"/>
    </row>
    <row r="1411" spans="1:44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53</v>
      </c>
      <c r="X1411">
        <v>2401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292</v>
      </c>
      <c r="AJ1411">
        <v>290</v>
      </c>
      <c r="AK1411">
        <v>0</v>
      </c>
      <c r="AL1411">
        <f t="shared" si="22"/>
        <v>294</v>
      </c>
      <c r="AM1411">
        <f>IF(OR(Table1[[#This Row],[marital_Married]]=1,Table1[[#This Row],[marital_Together]]=1),1,0)</f>
        <v>0</v>
      </c>
      <c r="AN1411" t="str">
        <f>IF(Table1[[#This Row],[Income]]&gt;=70000,"HIGH INCOME","LOW INCOME")</f>
        <v>HIGH INCOME</v>
      </c>
      <c r="AO1411" s="1" t="str">
        <f>IF(Table1[[#This Row],[MNT_TOTAL]]&gt;=900,"HIGH VALUE","LOW VALUE")</f>
        <v>LOW VALUE</v>
      </c>
      <c r="AP14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11" s="1"/>
      <c r="AR1411" s="1"/>
    </row>
    <row r="1412" spans="1:44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41</v>
      </c>
      <c r="X1412">
        <v>2580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32</v>
      </c>
      <c r="AJ1412">
        <v>16</v>
      </c>
      <c r="AK1412">
        <v>1</v>
      </c>
      <c r="AL1412">
        <f t="shared" si="22"/>
        <v>48</v>
      </c>
      <c r="AM1412">
        <f>IF(OR(Table1[[#This Row],[marital_Married]]=1,Table1[[#This Row],[marital_Together]]=1),1,0)</f>
        <v>1</v>
      </c>
      <c r="AN1412" t="str">
        <f>IF(Table1[[#This Row],[Income]]&gt;=70000,"HIGH INCOME","LOW INCOME")</f>
        <v>LOW INCOME</v>
      </c>
      <c r="AO1412" s="1" t="str">
        <f>IF(Table1[[#This Row],[MNT_TOTAL]]&gt;=900,"HIGH VALUE","LOW VALUE")</f>
        <v>LOW VALUE</v>
      </c>
      <c r="AP14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2" s="1"/>
      <c r="AR1412" s="1"/>
    </row>
    <row r="1413" spans="1:44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59</v>
      </c>
      <c r="X1413">
        <v>2832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254</v>
      </c>
      <c r="AJ1413">
        <v>219</v>
      </c>
      <c r="AK1413">
        <v>0</v>
      </c>
      <c r="AL1413">
        <f t="shared" si="22"/>
        <v>289</v>
      </c>
      <c r="AM1413">
        <f>IF(OR(Table1[[#This Row],[marital_Married]]=1,Table1[[#This Row],[marital_Together]]=1),1,0)</f>
        <v>1</v>
      </c>
      <c r="AN1413" t="str">
        <f>IF(Table1[[#This Row],[Income]]&gt;=70000,"HIGH INCOME","LOW INCOME")</f>
        <v>LOW INCOME</v>
      </c>
      <c r="AO1413" s="1" t="str">
        <f>IF(Table1[[#This Row],[MNT_TOTAL]]&gt;=900,"HIGH VALUE","LOW VALUE")</f>
        <v>LOW VALUE</v>
      </c>
      <c r="AP14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3" s="1"/>
      <c r="AR1413" s="1"/>
    </row>
    <row r="1414" spans="1:44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34</v>
      </c>
      <c r="X1414">
        <v>2679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20</v>
      </c>
      <c r="AJ1414">
        <v>10</v>
      </c>
      <c r="AK1414">
        <v>0</v>
      </c>
      <c r="AL1414">
        <f t="shared" si="22"/>
        <v>30</v>
      </c>
      <c r="AM1414">
        <f>IF(OR(Table1[[#This Row],[marital_Married]]=1,Table1[[#This Row],[marital_Together]]=1),1,0)</f>
        <v>1</v>
      </c>
      <c r="AN1414" t="str">
        <f>IF(Table1[[#This Row],[Income]]&gt;=70000,"HIGH INCOME","LOW INCOME")</f>
        <v>LOW INCOME</v>
      </c>
      <c r="AO1414" s="1" t="str">
        <f>IF(Table1[[#This Row],[MNT_TOTAL]]&gt;=900,"HIGH VALUE","LOW VALUE")</f>
        <v>LOW VALUE</v>
      </c>
      <c r="AP14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4" s="1"/>
      <c r="AR1414" s="1"/>
    </row>
    <row r="1415" spans="1:44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56</v>
      </c>
      <c r="X1415">
        <v>2226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90</v>
      </c>
      <c r="AJ1415">
        <v>55</v>
      </c>
      <c r="AK1415">
        <v>0</v>
      </c>
      <c r="AL1415">
        <f t="shared" si="22"/>
        <v>125</v>
      </c>
      <c r="AM1415">
        <f>IF(OR(Table1[[#This Row],[marital_Married]]=1,Table1[[#This Row],[marital_Together]]=1),1,0)</f>
        <v>1</v>
      </c>
      <c r="AN1415" t="str">
        <f>IF(Table1[[#This Row],[Income]]&gt;=70000,"HIGH INCOME","LOW INCOME")</f>
        <v>LOW INCOME</v>
      </c>
      <c r="AO1415" s="1" t="str">
        <f>IF(Table1[[#This Row],[MNT_TOTAL]]&gt;=900,"HIGH VALUE","LOW VALUE")</f>
        <v>LOW VALUE</v>
      </c>
      <c r="AP14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5" s="1"/>
      <c r="AR1415" s="1"/>
    </row>
    <row r="1416" spans="1:44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37</v>
      </c>
      <c r="X1416">
        <v>2659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120</v>
      </c>
      <c r="AJ1416">
        <v>84</v>
      </c>
      <c r="AK1416">
        <v>0</v>
      </c>
      <c r="AL1416">
        <f t="shared" si="22"/>
        <v>156</v>
      </c>
      <c r="AM1416">
        <f>IF(OR(Table1[[#This Row],[marital_Married]]=1,Table1[[#This Row],[marital_Together]]=1),1,0)</f>
        <v>1</v>
      </c>
      <c r="AN1416" t="str">
        <f>IF(Table1[[#This Row],[Income]]&gt;=70000,"HIGH INCOME","LOW INCOME")</f>
        <v>LOW INCOME</v>
      </c>
      <c r="AO1416" s="1" t="str">
        <f>IF(Table1[[#This Row],[MNT_TOTAL]]&gt;=900,"HIGH VALUE","LOW VALUE")</f>
        <v>LOW VALUE</v>
      </c>
      <c r="AP14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6" s="1"/>
      <c r="AR1416" s="1"/>
    </row>
    <row r="1417" spans="1:44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68</v>
      </c>
      <c r="X1417">
        <v>2505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62</v>
      </c>
      <c r="AJ1417">
        <v>54</v>
      </c>
      <c r="AK1417">
        <v>0</v>
      </c>
      <c r="AL1417">
        <f t="shared" si="22"/>
        <v>70</v>
      </c>
      <c r="AM1417">
        <f>IF(OR(Table1[[#This Row],[marital_Married]]=1,Table1[[#This Row],[marital_Together]]=1),1,0)</f>
        <v>1</v>
      </c>
      <c r="AN1417" t="str">
        <f>IF(Table1[[#This Row],[Income]]&gt;=70000,"HIGH INCOME","LOW INCOME")</f>
        <v>LOW INCOME</v>
      </c>
      <c r="AO1417" s="1" t="str">
        <f>IF(Table1[[#This Row],[MNT_TOTAL]]&gt;=900,"HIGH VALUE","LOW VALUE")</f>
        <v>LOW VALUE</v>
      </c>
      <c r="AP14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7" s="1"/>
      <c r="AR1417" s="1"/>
    </row>
    <row r="1418" spans="1:44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71</v>
      </c>
      <c r="X1418">
        <v>2440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19</v>
      </c>
      <c r="AJ1418">
        <v>16</v>
      </c>
      <c r="AK1418">
        <v>0</v>
      </c>
      <c r="AL1418">
        <f t="shared" si="22"/>
        <v>22</v>
      </c>
      <c r="AM1418">
        <f>IF(OR(Table1[[#This Row],[marital_Married]]=1,Table1[[#This Row],[marital_Together]]=1),1,0)</f>
        <v>1</v>
      </c>
      <c r="AN1418" t="str">
        <f>IF(Table1[[#This Row],[Income]]&gt;=70000,"HIGH INCOME","LOW INCOME")</f>
        <v>LOW INCOME</v>
      </c>
      <c r="AO1418" s="1" t="str">
        <f>IF(Table1[[#This Row],[MNT_TOTAL]]&gt;=900,"HIGH VALUE","LOW VALUE")</f>
        <v>LOW VALUE</v>
      </c>
      <c r="AP14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8" s="1"/>
      <c r="AR1418" s="1"/>
    </row>
    <row r="1419" spans="1:44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41</v>
      </c>
      <c r="X1419">
        <v>2823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46</v>
      </c>
      <c r="AJ1419">
        <v>27</v>
      </c>
      <c r="AK1419">
        <v>0</v>
      </c>
      <c r="AL1419">
        <f t="shared" si="22"/>
        <v>65</v>
      </c>
      <c r="AM1419">
        <f>IF(OR(Table1[[#This Row],[marital_Married]]=1,Table1[[#This Row],[marital_Together]]=1),1,0)</f>
        <v>1</v>
      </c>
      <c r="AN1419" t="str">
        <f>IF(Table1[[#This Row],[Income]]&gt;=70000,"HIGH INCOME","LOW INCOME")</f>
        <v>LOW INCOME</v>
      </c>
      <c r="AO1419" s="1" t="str">
        <f>IF(Table1[[#This Row],[MNT_TOTAL]]&gt;=900,"HIGH VALUE","LOW VALUE")</f>
        <v>LOW VALUE</v>
      </c>
      <c r="AP14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19" s="1"/>
      <c r="AR1419" s="1"/>
    </row>
    <row r="1420" spans="1:44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1</v>
      </c>
      <c r="W1420">
        <v>72</v>
      </c>
      <c r="X1420">
        <v>2772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1792</v>
      </c>
      <c r="AJ1420">
        <v>1654</v>
      </c>
      <c r="AK1420">
        <v>1</v>
      </c>
      <c r="AL1420">
        <f t="shared" si="22"/>
        <v>1930</v>
      </c>
      <c r="AM1420">
        <f>IF(OR(Table1[[#This Row],[marital_Married]]=1,Table1[[#This Row],[marital_Together]]=1),1,0)</f>
        <v>0</v>
      </c>
      <c r="AN1420" t="str">
        <f>IF(Table1[[#This Row],[Income]]&gt;=70000,"HIGH INCOME","LOW INCOME")</f>
        <v>HIGH INCOME</v>
      </c>
      <c r="AO1420" s="1" t="str">
        <f>IF(Table1[[#This Row],[MNT_TOTAL]]&gt;=900,"HIGH VALUE","LOW VALUE")</f>
        <v>HIGH VALUE</v>
      </c>
      <c r="AP14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420" s="1"/>
      <c r="AR1420" s="1"/>
    </row>
    <row r="1421" spans="1:44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74</v>
      </c>
      <c r="X1421">
        <v>2434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2157</v>
      </c>
      <c r="AJ1421">
        <v>2031</v>
      </c>
      <c r="AK1421">
        <v>2</v>
      </c>
      <c r="AL1421">
        <f t="shared" si="22"/>
        <v>2283</v>
      </c>
      <c r="AM1421">
        <f>IF(OR(Table1[[#This Row],[marital_Married]]=1,Table1[[#This Row],[marital_Together]]=1),1,0)</f>
        <v>1</v>
      </c>
      <c r="AN1421" t="str">
        <f>IF(Table1[[#This Row],[Income]]&gt;=70000,"HIGH INCOME","LOW INCOME")</f>
        <v>HIGH INCOME</v>
      </c>
      <c r="AO1421" s="1" t="str">
        <f>IF(Table1[[#This Row],[MNT_TOTAL]]&gt;=900,"HIGH VALUE","LOW VALUE")</f>
        <v>HIGH VALUE</v>
      </c>
      <c r="AP14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21" s="1"/>
      <c r="AR1421" s="1"/>
    </row>
    <row r="1422" spans="1:44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62</v>
      </c>
      <c r="X1422">
        <v>2416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304</v>
      </c>
      <c r="AJ1422">
        <v>298</v>
      </c>
      <c r="AK1422">
        <v>0</v>
      </c>
      <c r="AL1422">
        <f t="shared" si="22"/>
        <v>310</v>
      </c>
      <c r="AM1422">
        <f>IF(OR(Table1[[#This Row],[marital_Married]]=1,Table1[[#This Row],[marital_Together]]=1),1,0)</f>
        <v>1</v>
      </c>
      <c r="AN1422" t="str">
        <f>IF(Table1[[#This Row],[Income]]&gt;=70000,"HIGH INCOME","LOW INCOME")</f>
        <v>LOW INCOME</v>
      </c>
      <c r="AO1422" s="1" t="str">
        <f>IF(Table1[[#This Row],[MNT_TOTAL]]&gt;=900,"HIGH VALUE","LOW VALUE")</f>
        <v>LOW VALUE</v>
      </c>
      <c r="AP14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22" s="1"/>
      <c r="AR1422" s="1"/>
    </row>
    <row r="1423" spans="1:44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49</v>
      </c>
      <c r="X1423">
        <v>2719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1302</v>
      </c>
      <c r="AJ1423">
        <v>1285</v>
      </c>
      <c r="AK1423">
        <v>0</v>
      </c>
      <c r="AL1423">
        <f t="shared" si="22"/>
        <v>1319</v>
      </c>
      <c r="AM1423">
        <f>IF(OR(Table1[[#This Row],[marital_Married]]=1,Table1[[#This Row],[marital_Together]]=1),1,0)</f>
        <v>1</v>
      </c>
      <c r="AN1423" t="str">
        <f>IF(Table1[[#This Row],[Income]]&gt;=70000,"HIGH INCOME","LOW INCOME")</f>
        <v>HIGH INCOME</v>
      </c>
      <c r="AO1423" s="1" t="str">
        <f>IF(Table1[[#This Row],[MNT_TOTAL]]&gt;=900,"HIGH VALUE","LOW VALUE")</f>
        <v>HIGH VALUE</v>
      </c>
      <c r="AP14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23" s="1"/>
      <c r="AR1423" s="1"/>
    </row>
    <row r="1424" spans="1:44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63</v>
      </c>
      <c r="X1424">
        <v>2734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832</v>
      </c>
      <c r="AJ1424">
        <v>785</v>
      </c>
      <c r="AK1424">
        <v>1</v>
      </c>
      <c r="AL1424">
        <f t="shared" si="22"/>
        <v>879</v>
      </c>
      <c r="AM1424">
        <f>IF(OR(Table1[[#This Row],[marital_Married]]=1,Table1[[#This Row],[marital_Together]]=1),1,0)</f>
        <v>1</v>
      </c>
      <c r="AN1424" t="str">
        <f>IF(Table1[[#This Row],[Income]]&gt;=70000,"HIGH INCOME","LOW INCOME")</f>
        <v>LOW INCOME</v>
      </c>
      <c r="AO1424" s="1" t="str">
        <f>IF(Table1[[#This Row],[MNT_TOTAL]]&gt;=900,"HIGH VALUE","LOW VALUE")</f>
        <v>LOW VALUE</v>
      </c>
      <c r="AP14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24" s="1"/>
      <c r="AR1424" s="1"/>
    </row>
    <row r="1425" spans="1:44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38</v>
      </c>
      <c r="X1425">
        <v>2406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1114</v>
      </c>
      <c r="AJ1425">
        <v>984</v>
      </c>
      <c r="AK1425">
        <v>0</v>
      </c>
      <c r="AL1425">
        <f t="shared" si="22"/>
        <v>1244</v>
      </c>
      <c r="AM1425">
        <f>IF(OR(Table1[[#This Row],[marital_Married]]=1,Table1[[#This Row],[marital_Together]]=1),1,0)</f>
        <v>1</v>
      </c>
      <c r="AN1425" t="str">
        <f>IF(Table1[[#This Row],[Income]]&gt;=70000,"HIGH INCOME","LOW INCOME")</f>
        <v>HIGH INCOME</v>
      </c>
      <c r="AO1425" s="1" t="str">
        <f>IF(Table1[[#This Row],[MNT_TOTAL]]&gt;=900,"HIGH VALUE","LOW VALUE")</f>
        <v>HIGH VALUE</v>
      </c>
      <c r="AP14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25" s="1"/>
      <c r="AR1425" s="1"/>
    </row>
    <row r="1426" spans="1:44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47</v>
      </c>
      <c r="X1426">
        <v>2257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651</v>
      </c>
      <c r="AJ1426">
        <v>612</v>
      </c>
      <c r="AK1426">
        <v>0</v>
      </c>
      <c r="AL1426">
        <f t="shared" si="22"/>
        <v>690</v>
      </c>
      <c r="AM1426">
        <f>IF(OR(Table1[[#This Row],[marital_Married]]=1,Table1[[#This Row],[marital_Together]]=1),1,0)</f>
        <v>1</v>
      </c>
      <c r="AN1426" t="str">
        <f>IF(Table1[[#This Row],[Income]]&gt;=70000,"HIGH INCOME","LOW INCOME")</f>
        <v>LOW INCOME</v>
      </c>
      <c r="AO1426" s="1" t="str">
        <f>IF(Table1[[#This Row],[MNT_TOTAL]]&gt;=900,"HIGH VALUE","LOW VALUE")</f>
        <v>LOW VALUE</v>
      </c>
      <c r="AP14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26" s="1"/>
      <c r="AR1426" s="1"/>
    </row>
    <row r="1427" spans="1:44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48</v>
      </c>
      <c r="X1427">
        <v>2656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184</v>
      </c>
      <c r="AJ1427">
        <v>159</v>
      </c>
      <c r="AK1427">
        <v>0</v>
      </c>
      <c r="AL1427">
        <f t="shared" si="22"/>
        <v>209</v>
      </c>
      <c r="AM1427">
        <f>IF(OR(Table1[[#This Row],[marital_Married]]=1,Table1[[#This Row],[marital_Together]]=1),1,0)</f>
        <v>1</v>
      </c>
      <c r="AN1427" t="str">
        <f>IF(Table1[[#This Row],[Income]]&gt;=70000,"HIGH INCOME","LOW INCOME")</f>
        <v>LOW INCOME</v>
      </c>
      <c r="AO1427" s="1" t="str">
        <f>IF(Table1[[#This Row],[MNT_TOTAL]]&gt;=900,"HIGH VALUE","LOW VALUE")</f>
        <v>LOW VALUE</v>
      </c>
      <c r="AP14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27" s="1"/>
      <c r="AR1427" s="1"/>
    </row>
    <row r="1428" spans="1:44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55</v>
      </c>
      <c r="X1428">
        <v>2179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1103</v>
      </c>
      <c r="AJ1428">
        <v>1072</v>
      </c>
      <c r="AK1428">
        <v>0</v>
      </c>
      <c r="AL1428">
        <f t="shared" si="22"/>
        <v>1134</v>
      </c>
      <c r="AM1428">
        <f>IF(OR(Table1[[#This Row],[marital_Married]]=1,Table1[[#This Row],[marital_Together]]=1),1,0)</f>
        <v>1</v>
      </c>
      <c r="AN1428" t="str">
        <f>IF(Table1[[#This Row],[Income]]&gt;=70000,"HIGH INCOME","LOW INCOME")</f>
        <v>HIGH INCOME</v>
      </c>
      <c r="AO1428" s="1" t="str">
        <f>IF(Table1[[#This Row],[MNT_TOTAL]]&gt;=900,"HIGH VALUE","LOW VALUE")</f>
        <v>HIGH VALUE</v>
      </c>
      <c r="AP14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28" s="1"/>
      <c r="AR1428" s="1"/>
    </row>
    <row r="1429" spans="1:44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67</v>
      </c>
      <c r="X1429">
        <v>2387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1464</v>
      </c>
      <c r="AJ1429">
        <v>1421</v>
      </c>
      <c r="AK1429">
        <v>0</v>
      </c>
      <c r="AL1429">
        <f t="shared" si="22"/>
        <v>1507</v>
      </c>
      <c r="AM1429">
        <f>IF(OR(Table1[[#This Row],[marital_Married]]=1,Table1[[#This Row],[marital_Together]]=1),1,0)</f>
        <v>0</v>
      </c>
      <c r="AN1429" t="str">
        <f>IF(Table1[[#This Row],[Income]]&gt;=70000,"HIGH INCOME","LOW INCOME")</f>
        <v>HIGH INCOME</v>
      </c>
      <c r="AO1429" s="1" t="str">
        <f>IF(Table1[[#This Row],[MNT_TOTAL]]&gt;=900,"HIGH VALUE","LOW VALUE")</f>
        <v>HIGH VALUE</v>
      </c>
      <c r="AP14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429" s="1"/>
      <c r="AR1429" s="1"/>
    </row>
    <row r="1430" spans="1:44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53</v>
      </c>
      <c r="X1430">
        <v>2431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54</v>
      </c>
      <c r="AJ1430">
        <v>51</v>
      </c>
      <c r="AK1430">
        <v>0</v>
      </c>
      <c r="AL1430">
        <f t="shared" si="22"/>
        <v>57</v>
      </c>
      <c r="AM1430">
        <f>IF(OR(Table1[[#This Row],[marital_Married]]=1,Table1[[#This Row],[marital_Together]]=1),1,0)</f>
        <v>0</v>
      </c>
      <c r="AN1430" t="str">
        <f>IF(Table1[[#This Row],[Income]]&gt;=70000,"HIGH INCOME","LOW INCOME")</f>
        <v>LOW INCOME</v>
      </c>
      <c r="AO1430" s="1" t="str">
        <f>IF(Table1[[#This Row],[MNT_TOTAL]]&gt;=900,"HIGH VALUE","LOW VALUE")</f>
        <v>LOW VALUE</v>
      </c>
      <c r="AP14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30" s="1"/>
      <c r="AR1430" s="1"/>
    </row>
    <row r="1431" spans="1:44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55</v>
      </c>
      <c r="X1431">
        <v>2829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459</v>
      </c>
      <c r="AJ1431">
        <v>389</v>
      </c>
      <c r="AK1431">
        <v>0</v>
      </c>
      <c r="AL1431">
        <f t="shared" si="22"/>
        <v>529</v>
      </c>
      <c r="AM1431">
        <f>IF(OR(Table1[[#This Row],[marital_Married]]=1,Table1[[#This Row],[marital_Together]]=1),1,0)</f>
        <v>1</v>
      </c>
      <c r="AN1431" t="str">
        <f>IF(Table1[[#This Row],[Income]]&gt;=70000,"HIGH INCOME","LOW INCOME")</f>
        <v>LOW INCOME</v>
      </c>
      <c r="AO1431" s="1" t="str">
        <f>IF(Table1[[#This Row],[MNT_TOTAL]]&gt;=900,"HIGH VALUE","LOW VALUE")</f>
        <v>LOW VALUE</v>
      </c>
      <c r="AP14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1" s="1"/>
      <c r="AR1431" s="1"/>
    </row>
    <row r="1432" spans="1:44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51</v>
      </c>
      <c r="X1432">
        <v>2163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1051</v>
      </c>
      <c r="AJ1432">
        <v>1011</v>
      </c>
      <c r="AK1432">
        <v>0</v>
      </c>
      <c r="AL1432">
        <f t="shared" si="22"/>
        <v>1091</v>
      </c>
      <c r="AM1432">
        <f>IF(OR(Table1[[#This Row],[marital_Married]]=1,Table1[[#This Row],[marital_Together]]=1),1,0)</f>
        <v>1</v>
      </c>
      <c r="AN1432" t="str">
        <f>IF(Table1[[#This Row],[Income]]&gt;=70000,"HIGH INCOME","LOW INCOME")</f>
        <v>LOW INCOME</v>
      </c>
      <c r="AO1432" s="1" t="str">
        <f>IF(Table1[[#This Row],[MNT_TOTAL]]&gt;=900,"HIGH VALUE","LOW VALUE")</f>
        <v>HIGH VALUE</v>
      </c>
      <c r="AP14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32" s="1"/>
      <c r="AR1432" s="1"/>
    </row>
    <row r="1433" spans="1:44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49</v>
      </c>
      <c r="X1433">
        <v>2783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149</v>
      </c>
      <c r="AJ1433">
        <v>118</v>
      </c>
      <c r="AK1433">
        <v>0</v>
      </c>
      <c r="AL1433">
        <f t="shared" si="22"/>
        <v>180</v>
      </c>
      <c r="AM1433">
        <f>IF(OR(Table1[[#This Row],[marital_Married]]=1,Table1[[#This Row],[marital_Together]]=1),1,0)</f>
        <v>0</v>
      </c>
      <c r="AN1433" t="str">
        <f>IF(Table1[[#This Row],[Income]]&gt;=70000,"HIGH INCOME","LOW INCOME")</f>
        <v>LOW INCOME</v>
      </c>
      <c r="AO1433" s="1" t="str">
        <f>IF(Table1[[#This Row],[MNT_TOTAL]]&gt;=900,"HIGH VALUE","LOW VALUE")</f>
        <v>LOW VALUE</v>
      </c>
      <c r="AP14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33" s="1"/>
      <c r="AR1433" s="1"/>
    </row>
    <row r="1434" spans="1:44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48</v>
      </c>
      <c r="X1434">
        <v>2692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55</v>
      </c>
      <c r="AJ1434">
        <v>33</v>
      </c>
      <c r="AK1434">
        <v>0</v>
      </c>
      <c r="AL1434">
        <f t="shared" si="22"/>
        <v>77</v>
      </c>
      <c r="AM1434">
        <f>IF(OR(Table1[[#This Row],[marital_Married]]=1,Table1[[#This Row],[marital_Together]]=1),1,0)</f>
        <v>1</v>
      </c>
      <c r="AN1434" t="str">
        <f>IF(Table1[[#This Row],[Income]]&gt;=70000,"HIGH INCOME","LOW INCOME")</f>
        <v>LOW INCOME</v>
      </c>
      <c r="AO1434" s="1" t="str">
        <f>IF(Table1[[#This Row],[MNT_TOTAL]]&gt;=900,"HIGH VALUE","LOW VALUE")</f>
        <v>LOW VALUE</v>
      </c>
      <c r="AP14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4" s="1"/>
      <c r="AR1434" s="1"/>
    </row>
    <row r="1435" spans="1:44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1</v>
      </c>
      <c r="W1435">
        <v>50</v>
      </c>
      <c r="X1435">
        <v>2296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2304</v>
      </c>
      <c r="AJ1435">
        <v>2259</v>
      </c>
      <c r="AK1435">
        <v>3</v>
      </c>
      <c r="AL1435">
        <f t="shared" si="22"/>
        <v>2349</v>
      </c>
      <c r="AM1435">
        <f>IF(OR(Table1[[#This Row],[marital_Married]]=1,Table1[[#This Row],[marital_Together]]=1),1,0)</f>
        <v>0</v>
      </c>
      <c r="AN1435" t="str">
        <f>IF(Table1[[#This Row],[Income]]&gt;=70000,"HIGH INCOME","LOW INCOME")</f>
        <v>HIGH INCOME</v>
      </c>
      <c r="AO1435" s="1" t="str">
        <f>IF(Table1[[#This Row],[MNT_TOTAL]]&gt;=900,"HIGH VALUE","LOW VALUE")</f>
        <v>HIGH VALUE</v>
      </c>
      <c r="AP14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435" s="1"/>
      <c r="AR1435" s="1"/>
    </row>
    <row r="1436" spans="1:44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46</v>
      </c>
      <c r="X1436">
        <v>2812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520</v>
      </c>
      <c r="AJ1436">
        <v>506</v>
      </c>
      <c r="AK1436">
        <v>0</v>
      </c>
      <c r="AL1436">
        <f t="shared" si="22"/>
        <v>534</v>
      </c>
      <c r="AM1436">
        <f>IF(OR(Table1[[#This Row],[marital_Married]]=1,Table1[[#This Row],[marital_Together]]=1),1,0)</f>
        <v>1</v>
      </c>
      <c r="AN1436" t="str">
        <f>IF(Table1[[#This Row],[Income]]&gt;=70000,"HIGH INCOME","LOW INCOME")</f>
        <v>LOW INCOME</v>
      </c>
      <c r="AO1436" s="1" t="str">
        <f>IF(Table1[[#This Row],[MNT_TOTAL]]&gt;=900,"HIGH VALUE","LOW VALUE")</f>
        <v>LOW VALUE</v>
      </c>
      <c r="AP14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6" s="1"/>
      <c r="AR1436" s="1"/>
    </row>
    <row r="1437" spans="1:44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70</v>
      </c>
      <c r="X1437">
        <v>2313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546</v>
      </c>
      <c r="AJ1437">
        <v>536</v>
      </c>
      <c r="AK1437">
        <v>1</v>
      </c>
      <c r="AL1437">
        <f t="shared" si="22"/>
        <v>556</v>
      </c>
      <c r="AM1437">
        <f>IF(OR(Table1[[#This Row],[marital_Married]]=1,Table1[[#This Row],[marital_Together]]=1),1,0)</f>
        <v>0</v>
      </c>
      <c r="AN1437" t="str">
        <f>IF(Table1[[#This Row],[Income]]&gt;=70000,"HIGH INCOME","LOW INCOME")</f>
        <v>LOW INCOME</v>
      </c>
      <c r="AO1437" s="1" t="str">
        <f>IF(Table1[[#This Row],[MNT_TOTAL]]&gt;=900,"HIGH VALUE","LOW VALUE")</f>
        <v>LOW VALUE</v>
      </c>
      <c r="AP14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37" s="1"/>
      <c r="AR1437" s="1"/>
    </row>
    <row r="1438" spans="1:44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61</v>
      </c>
      <c r="X1438">
        <v>2473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608</v>
      </c>
      <c r="AJ1438">
        <v>579</v>
      </c>
      <c r="AK1438">
        <v>0</v>
      </c>
      <c r="AL1438">
        <f t="shared" si="22"/>
        <v>637</v>
      </c>
      <c r="AM1438">
        <f>IF(OR(Table1[[#This Row],[marital_Married]]=1,Table1[[#This Row],[marital_Together]]=1),1,0)</f>
        <v>1</v>
      </c>
      <c r="AN1438" t="str">
        <f>IF(Table1[[#This Row],[Income]]&gt;=70000,"HIGH INCOME","LOW INCOME")</f>
        <v>LOW INCOME</v>
      </c>
      <c r="AO1438" s="1" t="str">
        <f>IF(Table1[[#This Row],[MNT_TOTAL]]&gt;=900,"HIGH VALUE","LOW VALUE")</f>
        <v>LOW VALUE</v>
      </c>
      <c r="AP14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8" s="1"/>
      <c r="AR1438" s="1"/>
    </row>
    <row r="1439" spans="1:44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65</v>
      </c>
      <c r="X1439">
        <v>2236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40</v>
      </c>
      <c r="AJ1439">
        <v>34</v>
      </c>
      <c r="AK1439">
        <v>2</v>
      </c>
      <c r="AL1439">
        <f t="shared" si="22"/>
        <v>46</v>
      </c>
      <c r="AM1439">
        <f>IF(OR(Table1[[#This Row],[marital_Married]]=1,Table1[[#This Row],[marital_Together]]=1),1,0)</f>
        <v>1</v>
      </c>
      <c r="AN1439" t="str">
        <f>IF(Table1[[#This Row],[Income]]&gt;=70000,"HIGH INCOME","LOW INCOME")</f>
        <v>LOW INCOME</v>
      </c>
      <c r="AO1439" s="1" t="str">
        <f>IF(Table1[[#This Row],[MNT_TOTAL]]&gt;=900,"HIGH VALUE","LOW VALUE")</f>
        <v>LOW VALUE</v>
      </c>
      <c r="AP14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39" s="1"/>
      <c r="AR1439" s="1"/>
    </row>
    <row r="1440" spans="1:44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42</v>
      </c>
      <c r="X1440">
        <v>2170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33</v>
      </c>
      <c r="AJ1440">
        <v>22</v>
      </c>
      <c r="AK1440">
        <v>0</v>
      </c>
      <c r="AL1440">
        <f t="shared" si="22"/>
        <v>44</v>
      </c>
      <c r="AM1440">
        <f>IF(OR(Table1[[#This Row],[marital_Married]]=1,Table1[[#This Row],[marital_Together]]=1),1,0)</f>
        <v>1</v>
      </c>
      <c r="AN1440" t="str">
        <f>IF(Table1[[#This Row],[Income]]&gt;=70000,"HIGH INCOME","LOW INCOME")</f>
        <v>LOW INCOME</v>
      </c>
      <c r="AO1440" s="1" t="str">
        <f>IF(Table1[[#This Row],[MNT_TOTAL]]&gt;=900,"HIGH VALUE","LOW VALUE")</f>
        <v>LOW VALUE</v>
      </c>
      <c r="AP14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0" s="1"/>
      <c r="AR1440" s="1"/>
    </row>
    <row r="1441" spans="1:44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34</v>
      </c>
      <c r="X1441">
        <v>2515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42</v>
      </c>
      <c r="AJ1441">
        <v>37</v>
      </c>
      <c r="AK1441">
        <v>0</v>
      </c>
      <c r="AL1441">
        <f t="shared" si="22"/>
        <v>47</v>
      </c>
      <c r="AM1441">
        <f>IF(OR(Table1[[#This Row],[marital_Married]]=1,Table1[[#This Row],[marital_Together]]=1),1,0)</f>
        <v>1</v>
      </c>
      <c r="AN1441" t="str">
        <f>IF(Table1[[#This Row],[Income]]&gt;=70000,"HIGH INCOME","LOW INCOME")</f>
        <v>LOW INCOME</v>
      </c>
      <c r="AO1441" s="1" t="str">
        <f>IF(Table1[[#This Row],[MNT_TOTAL]]&gt;=900,"HIGH VALUE","LOW VALUE")</f>
        <v>LOW VALUE</v>
      </c>
      <c r="AP14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1" s="1"/>
      <c r="AR1441" s="1"/>
    </row>
    <row r="1442" spans="1:44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57</v>
      </c>
      <c r="X1442">
        <v>2533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599</v>
      </c>
      <c r="AJ1442">
        <v>403</v>
      </c>
      <c r="AK1442">
        <v>0</v>
      </c>
      <c r="AL1442">
        <f t="shared" si="22"/>
        <v>795</v>
      </c>
      <c r="AM1442">
        <f>IF(OR(Table1[[#This Row],[marital_Married]]=1,Table1[[#This Row],[marital_Together]]=1),1,0)</f>
        <v>0</v>
      </c>
      <c r="AN1442" t="str">
        <f>IF(Table1[[#This Row],[Income]]&gt;=70000,"HIGH INCOME","LOW INCOME")</f>
        <v>LOW INCOME</v>
      </c>
      <c r="AO1442" s="1" t="str">
        <f>IF(Table1[[#This Row],[MNT_TOTAL]]&gt;=900,"HIGH VALUE","LOW VALUE")</f>
        <v>LOW VALUE</v>
      </c>
      <c r="AP14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42" s="1"/>
      <c r="AR1442" s="1"/>
    </row>
    <row r="1443" spans="1:44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67</v>
      </c>
      <c r="X1443">
        <v>2660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538</v>
      </c>
      <c r="AJ1443">
        <v>490</v>
      </c>
      <c r="AK1443">
        <v>0</v>
      </c>
      <c r="AL1443">
        <f t="shared" si="22"/>
        <v>586</v>
      </c>
      <c r="AM1443">
        <f>IF(OR(Table1[[#This Row],[marital_Married]]=1,Table1[[#This Row],[marital_Together]]=1),1,0)</f>
        <v>1</v>
      </c>
      <c r="AN1443" t="str">
        <f>IF(Table1[[#This Row],[Income]]&gt;=70000,"HIGH INCOME","LOW INCOME")</f>
        <v>LOW INCOME</v>
      </c>
      <c r="AO1443" s="1" t="str">
        <f>IF(Table1[[#This Row],[MNT_TOTAL]]&gt;=900,"HIGH VALUE","LOW VALUE")</f>
        <v>LOW VALUE</v>
      </c>
      <c r="AP14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3" s="1"/>
      <c r="AR1443" s="1"/>
    </row>
    <row r="1444" spans="1:44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68</v>
      </c>
      <c r="X1444">
        <v>2572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1383</v>
      </c>
      <c r="AJ1444">
        <v>1192</v>
      </c>
      <c r="AK1444">
        <v>1</v>
      </c>
      <c r="AL1444">
        <f t="shared" si="22"/>
        <v>1574</v>
      </c>
      <c r="AM1444">
        <f>IF(OR(Table1[[#This Row],[marital_Married]]=1,Table1[[#This Row],[marital_Together]]=1),1,0)</f>
        <v>1</v>
      </c>
      <c r="AN1444" t="str">
        <f>IF(Table1[[#This Row],[Income]]&gt;=70000,"HIGH INCOME","LOW INCOME")</f>
        <v>HIGH INCOME</v>
      </c>
      <c r="AO1444" s="1" t="str">
        <f>IF(Table1[[#This Row],[MNT_TOTAL]]&gt;=900,"HIGH VALUE","LOW VALUE")</f>
        <v>HIGH VALUE</v>
      </c>
      <c r="AP14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44" s="1"/>
      <c r="AR1444" s="1"/>
    </row>
    <row r="1445" spans="1:44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70</v>
      </c>
      <c r="X1445">
        <v>2300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12</v>
      </c>
      <c r="AJ1445">
        <v>11</v>
      </c>
      <c r="AK1445">
        <v>0</v>
      </c>
      <c r="AL1445">
        <f t="shared" si="22"/>
        <v>13</v>
      </c>
      <c r="AM1445">
        <f>IF(OR(Table1[[#This Row],[marital_Married]]=1,Table1[[#This Row],[marital_Together]]=1),1,0)</f>
        <v>1</v>
      </c>
      <c r="AN1445" t="str">
        <f>IF(Table1[[#This Row],[Income]]&gt;=70000,"HIGH INCOME","LOW INCOME")</f>
        <v>LOW INCOME</v>
      </c>
      <c r="AO1445" s="1" t="str">
        <f>IF(Table1[[#This Row],[MNT_TOTAL]]&gt;=900,"HIGH VALUE","LOW VALUE")</f>
        <v>LOW VALUE</v>
      </c>
      <c r="AP14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5" s="1"/>
      <c r="AR1445" s="1"/>
    </row>
    <row r="1446" spans="1:44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50</v>
      </c>
      <c r="X1446">
        <v>2688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1429</v>
      </c>
      <c r="AJ1446">
        <v>1387</v>
      </c>
      <c r="AK1446">
        <v>0</v>
      </c>
      <c r="AL1446">
        <f t="shared" si="22"/>
        <v>1471</v>
      </c>
      <c r="AM1446">
        <f>IF(OR(Table1[[#This Row],[marital_Married]]=1,Table1[[#This Row],[marital_Together]]=1),1,0)</f>
        <v>1</v>
      </c>
      <c r="AN1446" t="str">
        <f>IF(Table1[[#This Row],[Income]]&gt;=70000,"HIGH INCOME","LOW INCOME")</f>
        <v>LOW INCOME</v>
      </c>
      <c r="AO1446" s="1" t="str">
        <f>IF(Table1[[#This Row],[MNT_TOTAL]]&gt;=900,"HIGH VALUE","LOW VALUE")</f>
        <v>HIGH VALUE</v>
      </c>
      <c r="AP14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46" s="1"/>
      <c r="AR1446" s="1"/>
    </row>
    <row r="1447" spans="1:44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50</v>
      </c>
      <c r="X1447">
        <v>2349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43</v>
      </c>
      <c r="AJ1447">
        <v>21</v>
      </c>
      <c r="AK1447">
        <v>0</v>
      </c>
      <c r="AL1447">
        <f t="shared" si="22"/>
        <v>65</v>
      </c>
      <c r="AM1447">
        <f>IF(OR(Table1[[#This Row],[marital_Married]]=1,Table1[[#This Row],[marital_Together]]=1),1,0)</f>
        <v>1</v>
      </c>
      <c r="AN1447" t="str">
        <f>IF(Table1[[#This Row],[Income]]&gt;=70000,"HIGH INCOME","LOW INCOME")</f>
        <v>LOW INCOME</v>
      </c>
      <c r="AO1447" s="1" t="str">
        <f>IF(Table1[[#This Row],[MNT_TOTAL]]&gt;=900,"HIGH VALUE","LOW VALUE")</f>
        <v>LOW VALUE</v>
      </c>
      <c r="AP14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7" s="1"/>
      <c r="AR1447" s="1"/>
    </row>
    <row r="1448" spans="1:44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43</v>
      </c>
      <c r="X1448">
        <v>2582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151</v>
      </c>
      <c r="AJ1448">
        <v>127</v>
      </c>
      <c r="AK1448">
        <v>0</v>
      </c>
      <c r="AL1448">
        <f t="shared" si="22"/>
        <v>175</v>
      </c>
      <c r="AM1448">
        <f>IF(OR(Table1[[#This Row],[marital_Married]]=1,Table1[[#This Row],[marital_Together]]=1),1,0)</f>
        <v>1</v>
      </c>
      <c r="AN1448" t="str">
        <f>IF(Table1[[#This Row],[Income]]&gt;=70000,"HIGH INCOME","LOW INCOME")</f>
        <v>LOW INCOME</v>
      </c>
      <c r="AO1448" s="1" t="str">
        <f>IF(Table1[[#This Row],[MNT_TOTAL]]&gt;=900,"HIGH VALUE","LOW VALUE")</f>
        <v>LOW VALUE</v>
      </c>
      <c r="AP14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48" s="1"/>
      <c r="AR1448" s="1"/>
    </row>
    <row r="1449" spans="1:44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2587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35</v>
      </c>
      <c r="AJ1449">
        <v>30</v>
      </c>
      <c r="AK1449">
        <v>0</v>
      </c>
      <c r="AL1449">
        <f t="shared" si="22"/>
        <v>40</v>
      </c>
      <c r="AM1449">
        <f>IF(OR(Table1[[#This Row],[marital_Married]]=1,Table1[[#This Row],[marital_Together]]=1),1,0)</f>
        <v>0</v>
      </c>
      <c r="AN1449" t="str">
        <f>IF(Table1[[#This Row],[Income]]&gt;=70000,"HIGH INCOME","LOW INCOME")</f>
        <v>LOW INCOME</v>
      </c>
      <c r="AO1449" s="1" t="str">
        <f>IF(Table1[[#This Row],[MNT_TOTAL]]&gt;=900,"HIGH VALUE","LOW VALUE")</f>
        <v>LOW VALUE</v>
      </c>
      <c r="AP14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49" s="1"/>
      <c r="AR1449" s="1"/>
    </row>
    <row r="1450" spans="1:44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1</v>
      </c>
      <c r="W1450">
        <v>51</v>
      </c>
      <c r="X1450">
        <v>2825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934</v>
      </c>
      <c r="AJ1450">
        <v>790</v>
      </c>
      <c r="AK1450">
        <v>2</v>
      </c>
      <c r="AL1450">
        <f t="shared" si="22"/>
        <v>1078</v>
      </c>
      <c r="AM1450">
        <f>IF(OR(Table1[[#This Row],[marital_Married]]=1,Table1[[#This Row],[marital_Together]]=1),1,0)</f>
        <v>1</v>
      </c>
      <c r="AN1450" t="str">
        <f>IF(Table1[[#This Row],[Income]]&gt;=70000,"HIGH INCOME","LOW INCOME")</f>
        <v>HIGH INCOME</v>
      </c>
      <c r="AO1450" s="1" t="str">
        <f>IF(Table1[[#This Row],[MNT_TOTAL]]&gt;=900,"HIGH VALUE","LOW VALUE")</f>
        <v>HIGH VALUE</v>
      </c>
      <c r="AP14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50" s="1"/>
      <c r="AR1450" s="1"/>
    </row>
    <row r="1451" spans="1:44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62</v>
      </c>
      <c r="X1451">
        <v>2749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962</v>
      </c>
      <c r="AJ1451">
        <v>809</v>
      </c>
      <c r="AK1451">
        <v>0</v>
      </c>
      <c r="AL1451">
        <f t="shared" si="22"/>
        <v>1115</v>
      </c>
      <c r="AM1451">
        <f>IF(OR(Table1[[#This Row],[marital_Married]]=1,Table1[[#This Row],[marital_Together]]=1),1,0)</f>
        <v>1</v>
      </c>
      <c r="AN1451" t="str">
        <f>IF(Table1[[#This Row],[Income]]&gt;=70000,"HIGH INCOME","LOW INCOME")</f>
        <v>LOW INCOME</v>
      </c>
      <c r="AO1451" s="1" t="str">
        <f>IF(Table1[[#This Row],[MNT_TOTAL]]&gt;=900,"HIGH VALUE","LOW VALUE")</f>
        <v>HIGH VALUE</v>
      </c>
      <c r="AP14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1" s="1"/>
      <c r="AR1451" s="1"/>
    </row>
    <row r="1452" spans="1:44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66</v>
      </c>
      <c r="X1452">
        <v>2661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122</v>
      </c>
      <c r="AJ1452">
        <v>110</v>
      </c>
      <c r="AK1452">
        <v>0</v>
      </c>
      <c r="AL1452">
        <f t="shared" si="22"/>
        <v>134</v>
      </c>
      <c r="AM1452">
        <f>IF(OR(Table1[[#This Row],[marital_Married]]=1,Table1[[#This Row],[marital_Together]]=1),1,0)</f>
        <v>1</v>
      </c>
      <c r="AN1452" t="str">
        <f>IF(Table1[[#This Row],[Income]]&gt;=70000,"HIGH INCOME","LOW INCOME")</f>
        <v>LOW INCOME</v>
      </c>
      <c r="AO1452" s="1" t="str">
        <f>IF(Table1[[#This Row],[MNT_TOTAL]]&gt;=900,"HIGH VALUE","LOW VALUE")</f>
        <v>LOW VALUE</v>
      </c>
      <c r="AP14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52" s="1"/>
      <c r="AR1452" s="1"/>
    </row>
    <row r="1453" spans="1:44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64</v>
      </c>
      <c r="X1453">
        <v>2742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1497</v>
      </c>
      <c r="AJ1453">
        <v>1454</v>
      </c>
      <c r="AK1453">
        <v>0</v>
      </c>
      <c r="AL1453">
        <f t="shared" si="22"/>
        <v>1540</v>
      </c>
      <c r="AM1453">
        <f>IF(OR(Table1[[#This Row],[marital_Married]]=1,Table1[[#This Row],[marital_Together]]=1),1,0)</f>
        <v>0</v>
      </c>
      <c r="AN1453" t="str">
        <f>IF(Table1[[#This Row],[Income]]&gt;=70000,"HIGH INCOME","LOW INCOME")</f>
        <v>LOW INCOME</v>
      </c>
      <c r="AO1453" s="1" t="str">
        <f>IF(Table1[[#This Row],[MNT_TOTAL]]&gt;=900,"HIGH VALUE","LOW VALUE")</f>
        <v>HIGH VALUE</v>
      </c>
      <c r="AP14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3" s="1"/>
      <c r="AR1453" s="1"/>
    </row>
    <row r="1454" spans="1:44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50</v>
      </c>
      <c r="X1454">
        <v>2398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87</v>
      </c>
      <c r="AJ1454">
        <v>87</v>
      </c>
      <c r="AK1454">
        <v>0</v>
      </c>
      <c r="AL1454">
        <f t="shared" si="22"/>
        <v>87</v>
      </c>
      <c r="AM1454">
        <f>IF(OR(Table1[[#This Row],[marital_Married]]=1,Table1[[#This Row],[marital_Together]]=1),1,0)</f>
        <v>1</v>
      </c>
      <c r="AN1454" t="str">
        <f>IF(Table1[[#This Row],[Income]]&gt;=70000,"HIGH INCOME","LOW INCOME")</f>
        <v>LOW INCOME</v>
      </c>
      <c r="AO1454" s="1" t="str">
        <f>IF(Table1[[#This Row],[MNT_TOTAL]]&gt;=900,"HIGH VALUE","LOW VALUE")</f>
        <v>LOW VALUE</v>
      </c>
      <c r="AP14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54" s="1"/>
      <c r="AR1454" s="1"/>
    </row>
    <row r="1455" spans="1:44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33</v>
      </c>
      <c r="X1455">
        <v>2403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181</v>
      </c>
      <c r="AJ1455">
        <v>145</v>
      </c>
      <c r="AK1455">
        <v>0</v>
      </c>
      <c r="AL1455">
        <f t="shared" si="22"/>
        <v>217</v>
      </c>
      <c r="AM1455">
        <f>IF(OR(Table1[[#This Row],[marital_Married]]=1,Table1[[#This Row],[marital_Together]]=1),1,0)</f>
        <v>0</v>
      </c>
      <c r="AN1455" t="str">
        <f>IF(Table1[[#This Row],[Income]]&gt;=70000,"HIGH INCOME","LOW INCOME")</f>
        <v>LOW INCOME</v>
      </c>
      <c r="AO1455" s="1" t="str">
        <f>IF(Table1[[#This Row],[MNT_TOTAL]]&gt;=900,"HIGH VALUE","LOW VALUE")</f>
        <v>LOW VALUE</v>
      </c>
      <c r="AP14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5" s="1"/>
      <c r="AR1455" s="1"/>
    </row>
    <row r="1456" spans="1:44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59</v>
      </c>
      <c r="X1456">
        <v>2315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1004</v>
      </c>
      <c r="AJ1456">
        <v>974</v>
      </c>
      <c r="AK1456">
        <v>1</v>
      </c>
      <c r="AL1456">
        <f t="shared" si="22"/>
        <v>1034</v>
      </c>
      <c r="AM1456">
        <f>IF(OR(Table1[[#This Row],[marital_Married]]=1,Table1[[#This Row],[marital_Together]]=1),1,0)</f>
        <v>1</v>
      </c>
      <c r="AN1456" t="str">
        <f>IF(Table1[[#This Row],[Income]]&gt;=70000,"HIGH INCOME","LOW INCOME")</f>
        <v>LOW INCOME</v>
      </c>
      <c r="AO1456" s="1" t="str">
        <f>IF(Table1[[#This Row],[MNT_TOTAL]]&gt;=900,"HIGH VALUE","LOW VALUE")</f>
        <v>HIGH VALUE</v>
      </c>
      <c r="AP14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6" s="1"/>
      <c r="AR1456" s="1"/>
    </row>
    <row r="1457" spans="1:44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41</v>
      </c>
      <c r="X1457">
        <v>2613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1010</v>
      </c>
      <c r="AJ1457">
        <v>840</v>
      </c>
      <c r="AK1457">
        <v>0</v>
      </c>
      <c r="AL1457">
        <f t="shared" si="22"/>
        <v>1180</v>
      </c>
      <c r="AM1457">
        <f>IF(OR(Table1[[#This Row],[marital_Married]]=1,Table1[[#This Row],[marital_Together]]=1),1,0)</f>
        <v>0</v>
      </c>
      <c r="AN1457" t="str">
        <f>IF(Table1[[#This Row],[Income]]&gt;=70000,"HIGH INCOME","LOW INCOME")</f>
        <v>LOW INCOME</v>
      </c>
      <c r="AO1457" s="1" t="str">
        <f>IF(Table1[[#This Row],[MNT_TOTAL]]&gt;=900,"HIGH VALUE","LOW VALUE")</f>
        <v>HIGH VALUE</v>
      </c>
      <c r="AP14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57" s="1"/>
      <c r="AR1457" s="1"/>
    </row>
    <row r="1458" spans="1:44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60</v>
      </c>
      <c r="X1458">
        <v>2826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720</v>
      </c>
      <c r="AJ1458">
        <v>621</v>
      </c>
      <c r="AK1458">
        <v>0</v>
      </c>
      <c r="AL1458">
        <f t="shared" si="22"/>
        <v>819</v>
      </c>
      <c r="AM1458">
        <f>IF(OR(Table1[[#This Row],[marital_Married]]=1,Table1[[#This Row],[marital_Together]]=1),1,0)</f>
        <v>1</v>
      </c>
      <c r="AN1458" t="str">
        <f>IF(Table1[[#This Row],[Income]]&gt;=70000,"HIGH INCOME","LOW INCOME")</f>
        <v>LOW INCOME</v>
      </c>
      <c r="AO1458" s="1" t="str">
        <f>IF(Table1[[#This Row],[MNT_TOTAL]]&gt;=900,"HIGH VALUE","LOW VALUE")</f>
        <v>LOW VALUE</v>
      </c>
      <c r="AP14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58" s="1"/>
      <c r="AR1458" s="1"/>
    </row>
    <row r="1459" spans="1:44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39</v>
      </c>
      <c r="X1459">
        <v>2415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25</v>
      </c>
      <c r="AJ1459">
        <v>18</v>
      </c>
      <c r="AK1459">
        <v>0</v>
      </c>
      <c r="AL1459">
        <f t="shared" si="22"/>
        <v>32</v>
      </c>
      <c r="AM1459">
        <f>IF(OR(Table1[[#This Row],[marital_Married]]=1,Table1[[#This Row],[marital_Together]]=1),1,0)</f>
        <v>1</v>
      </c>
      <c r="AN1459" t="str">
        <f>IF(Table1[[#This Row],[Income]]&gt;=70000,"HIGH INCOME","LOW INCOME")</f>
        <v>LOW INCOME</v>
      </c>
      <c r="AO1459" s="1" t="str">
        <f>IF(Table1[[#This Row],[MNT_TOTAL]]&gt;=900,"HIGH VALUE","LOW VALUE")</f>
        <v>LOW VALUE</v>
      </c>
      <c r="AP14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59" s="1"/>
      <c r="AR1459" s="1"/>
    </row>
    <row r="1460" spans="1:44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40</v>
      </c>
      <c r="X1460">
        <v>2470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30</v>
      </c>
      <c r="AJ1460">
        <v>14</v>
      </c>
      <c r="AK1460">
        <v>0</v>
      </c>
      <c r="AL1460">
        <f t="shared" si="22"/>
        <v>46</v>
      </c>
      <c r="AM1460">
        <f>IF(OR(Table1[[#This Row],[marital_Married]]=1,Table1[[#This Row],[marital_Together]]=1),1,0)</f>
        <v>1</v>
      </c>
      <c r="AN1460" t="str">
        <f>IF(Table1[[#This Row],[Income]]&gt;=70000,"HIGH INCOME","LOW INCOME")</f>
        <v>LOW INCOME</v>
      </c>
      <c r="AO1460" s="1" t="str">
        <f>IF(Table1[[#This Row],[MNT_TOTAL]]&gt;=900,"HIGH VALUE","LOW VALUE")</f>
        <v>LOW VALUE</v>
      </c>
      <c r="AP14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60" s="1"/>
      <c r="AR1460" s="1"/>
    </row>
    <row r="1461" spans="1:44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44</v>
      </c>
      <c r="X1461">
        <v>2855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1125</v>
      </c>
      <c r="AJ1461">
        <v>1091</v>
      </c>
      <c r="AK1461">
        <v>0</v>
      </c>
      <c r="AL1461">
        <f t="shared" si="22"/>
        <v>1159</v>
      </c>
      <c r="AM1461">
        <f>IF(OR(Table1[[#This Row],[marital_Married]]=1,Table1[[#This Row],[marital_Together]]=1),1,0)</f>
        <v>1</v>
      </c>
      <c r="AN1461" t="str">
        <f>IF(Table1[[#This Row],[Income]]&gt;=70000,"HIGH INCOME","LOW INCOME")</f>
        <v>HIGH INCOME</v>
      </c>
      <c r="AO1461" s="1" t="str">
        <f>IF(Table1[[#This Row],[MNT_TOTAL]]&gt;=900,"HIGH VALUE","LOW VALUE")</f>
        <v>HIGH VALUE</v>
      </c>
      <c r="AP14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61" s="1"/>
      <c r="AR1461" s="1"/>
    </row>
    <row r="1462" spans="1:44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44</v>
      </c>
      <c r="X1462">
        <v>2642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852</v>
      </c>
      <c r="AJ1462">
        <v>844</v>
      </c>
      <c r="AK1462">
        <v>0</v>
      </c>
      <c r="AL1462">
        <f t="shared" si="22"/>
        <v>860</v>
      </c>
      <c r="AM1462">
        <f>IF(OR(Table1[[#This Row],[marital_Married]]=1,Table1[[#This Row],[marital_Together]]=1),1,0)</f>
        <v>0</v>
      </c>
      <c r="AN1462" t="str">
        <f>IF(Table1[[#This Row],[Income]]&gt;=70000,"HIGH INCOME","LOW INCOME")</f>
        <v>HIGH INCOME</v>
      </c>
      <c r="AO1462" s="1" t="str">
        <f>IF(Table1[[#This Row],[MNT_TOTAL]]&gt;=900,"HIGH VALUE","LOW VALUE")</f>
        <v>LOW VALUE</v>
      </c>
      <c r="AP14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62" s="1"/>
      <c r="AR1462" s="1"/>
    </row>
    <row r="1463" spans="1:44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50</v>
      </c>
      <c r="X1463">
        <v>2166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1600</v>
      </c>
      <c r="AJ1463">
        <v>1569</v>
      </c>
      <c r="AK1463">
        <v>0</v>
      </c>
      <c r="AL1463">
        <f t="shared" si="22"/>
        <v>1631</v>
      </c>
      <c r="AM1463">
        <f>IF(OR(Table1[[#This Row],[marital_Married]]=1,Table1[[#This Row],[marital_Together]]=1),1,0)</f>
        <v>1</v>
      </c>
      <c r="AN1463" t="str">
        <f>IF(Table1[[#This Row],[Income]]&gt;=70000,"HIGH INCOME","LOW INCOME")</f>
        <v>HIGH INCOME</v>
      </c>
      <c r="AO1463" s="1" t="str">
        <f>IF(Table1[[#This Row],[MNT_TOTAL]]&gt;=900,"HIGH VALUE","LOW VALUE")</f>
        <v>HIGH VALUE</v>
      </c>
      <c r="AP14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63" s="1"/>
      <c r="AR1463" s="1"/>
    </row>
    <row r="1464" spans="1:44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74</v>
      </c>
      <c r="X1464">
        <v>2178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436</v>
      </c>
      <c r="AJ1464">
        <v>428</v>
      </c>
      <c r="AK1464">
        <v>1</v>
      </c>
      <c r="AL1464">
        <f t="shared" si="22"/>
        <v>444</v>
      </c>
      <c r="AM1464">
        <f>IF(OR(Table1[[#This Row],[marital_Married]]=1,Table1[[#This Row],[marital_Together]]=1),1,0)</f>
        <v>1</v>
      </c>
      <c r="AN1464" t="str">
        <f>IF(Table1[[#This Row],[Income]]&gt;=70000,"HIGH INCOME","LOW INCOME")</f>
        <v>LOW INCOME</v>
      </c>
      <c r="AO1464" s="1" t="str">
        <f>IF(Table1[[#This Row],[MNT_TOTAL]]&gt;=900,"HIGH VALUE","LOW VALUE")</f>
        <v>LOW VALUE</v>
      </c>
      <c r="AP14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64" s="1"/>
      <c r="AR1464" s="1"/>
    </row>
    <row r="1465" spans="1:44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65</v>
      </c>
      <c r="X1465">
        <v>2693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1803</v>
      </c>
      <c r="AJ1465">
        <v>1696</v>
      </c>
      <c r="AK1465">
        <v>1</v>
      </c>
      <c r="AL1465">
        <f t="shared" si="22"/>
        <v>1910</v>
      </c>
      <c r="AM1465">
        <f>IF(OR(Table1[[#This Row],[marital_Married]]=1,Table1[[#This Row],[marital_Together]]=1),1,0)</f>
        <v>1</v>
      </c>
      <c r="AN1465" t="str">
        <f>IF(Table1[[#This Row],[Income]]&gt;=70000,"HIGH INCOME","LOW INCOME")</f>
        <v>HIGH INCOME</v>
      </c>
      <c r="AO1465" s="1" t="str">
        <f>IF(Table1[[#This Row],[MNT_TOTAL]]&gt;=900,"HIGH VALUE","LOW VALUE")</f>
        <v>HIGH VALUE</v>
      </c>
      <c r="AP14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65" s="1"/>
      <c r="AR1465" s="1"/>
    </row>
    <row r="1466" spans="1:44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48</v>
      </c>
      <c r="X1466">
        <v>2390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350</v>
      </c>
      <c r="AJ1466">
        <v>320</v>
      </c>
      <c r="AK1466">
        <v>0</v>
      </c>
      <c r="AL1466">
        <f t="shared" si="22"/>
        <v>380</v>
      </c>
      <c r="AM1466">
        <f>IF(OR(Table1[[#This Row],[marital_Married]]=1,Table1[[#This Row],[marital_Together]]=1),1,0)</f>
        <v>1</v>
      </c>
      <c r="AN1466" t="str">
        <f>IF(Table1[[#This Row],[Income]]&gt;=70000,"HIGH INCOME","LOW INCOME")</f>
        <v>LOW INCOME</v>
      </c>
      <c r="AO1466" s="1" t="str">
        <f>IF(Table1[[#This Row],[MNT_TOTAL]]&gt;=900,"HIGH VALUE","LOW VALUE")</f>
        <v>LOW VALUE</v>
      </c>
      <c r="AP14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66" s="1"/>
      <c r="AR1466" s="1"/>
    </row>
    <row r="1467" spans="1:44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49</v>
      </c>
      <c r="X1467">
        <v>2529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715</v>
      </c>
      <c r="AJ1467">
        <v>694</v>
      </c>
      <c r="AK1467">
        <v>0</v>
      </c>
      <c r="AL1467">
        <f t="shared" si="22"/>
        <v>736</v>
      </c>
      <c r="AM1467">
        <f>IF(OR(Table1[[#This Row],[marital_Married]]=1,Table1[[#This Row],[marital_Together]]=1),1,0)</f>
        <v>1</v>
      </c>
      <c r="AN1467" t="str">
        <f>IF(Table1[[#This Row],[Income]]&gt;=70000,"HIGH INCOME","LOW INCOME")</f>
        <v>LOW INCOME</v>
      </c>
      <c r="AO1467" s="1" t="str">
        <f>IF(Table1[[#This Row],[MNT_TOTAL]]&gt;=900,"HIGH VALUE","LOW VALUE")</f>
        <v>LOW VALUE</v>
      </c>
      <c r="AP14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67" s="1"/>
      <c r="AR1467" s="1"/>
    </row>
    <row r="1468" spans="1:44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70</v>
      </c>
      <c r="X1468">
        <v>2683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254</v>
      </c>
      <c r="AJ1468">
        <v>239</v>
      </c>
      <c r="AK1468">
        <v>0</v>
      </c>
      <c r="AL1468">
        <f t="shared" si="22"/>
        <v>269</v>
      </c>
      <c r="AM1468">
        <f>IF(OR(Table1[[#This Row],[marital_Married]]=1,Table1[[#This Row],[marital_Together]]=1),1,0)</f>
        <v>0</v>
      </c>
      <c r="AN1468" t="str">
        <f>IF(Table1[[#This Row],[Income]]&gt;=70000,"HIGH INCOME","LOW INCOME")</f>
        <v>LOW INCOME</v>
      </c>
      <c r="AO1468" s="1" t="str">
        <f>IF(Table1[[#This Row],[MNT_TOTAL]]&gt;=900,"HIGH VALUE","LOW VALUE")</f>
        <v>LOW VALUE</v>
      </c>
      <c r="AP14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68" s="1"/>
      <c r="AR1468" s="1"/>
    </row>
    <row r="1469" spans="1:44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1</v>
      </c>
      <c r="W1469">
        <v>32</v>
      </c>
      <c r="X1469">
        <v>2496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2491</v>
      </c>
      <c r="AJ1469">
        <v>2458</v>
      </c>
      <c r="AK1469">
        <v>3</v>
      </c>
      <c r="AL1469">
        <f t="shared" si="22"/>
        <v>2524</v>
      </c>
      <c r="AM1469">
        <f>IF(OR(Table1[[#This Row],[marital_Married]]=1,Table1[[#This Row],[marital_Together]]=1),1,0)</f>
        <v>1</v>
      </c>
      <c r="AN1469" t="str">
        <f>IF(Table1[[#This Row],[Income]]&gt;=70000,"HIGH INCOME","LOW INCOME")</f>
        <v>HIGH INCOME</v>
      </c>
      <c r="AO1469" s="1" t="str">
        <f>IF(Table1[[#This Row],[MNT_TOTAL]]&gt;=900,"HIGH VALUE","LOW VALUE")</f>
        <v>HIGH VALUE</v>
      </c>
      <c r="AP14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69" s="1"/>
      <c r="AR1469" s="1"/>
    </row>
    <row r="1470" spans="1:44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42</v>
      </c>
      <c r="X1470">
        <v>2430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595</v>
      </c>
      <c r="AJ1470">
        <v>578</v>
      </c>
      <c r="AK1470">
        <v>0</v>
      </c>
      <c r="AL1470">
        <f t="shared" si="22"/>
        <v>612</v>
      </c>
      <c r="AM1470">
        <f>IF(OR(Table1[[#This Row],[marital_Married]]=1,Table1[[#This Row],[marital_Together]]=1),1,0)</f>
        <v>1</v>
      </c>
      <c r="AN1470" t="str">
        <f>IF(Table1[[#This Row],[Income]]&gt;=70000,"HIGH INCOME","LOW INCOME")</f>
        <v>LOW INCOME</v>
      </c>
      <c r="AO1470" s="1" t="str">
        <f>IF(Table1[[#This Row],[MNT_TOTAL]]&gt;=900,"HIGH VALUE","LOW VALUE")</f>
        <v>LOW VALUE</v>
      </c>
      <c r="AP14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70" s="1"/>
      <c r="AR1470" s="1"/>
    </row>
    <row r="1471" spans="1:44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30</v>
      </c>
      <c r="X1471">
        <v>2359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60</v>
      </c>
      <c r="AJ1471">
        <v>45</v>
      </c>
      <c r="AK1471">
        <v>0</v>
      </c>
      <c r="AL1471">
        <f t="shared" si="22"/>
        <v>75</v>
      </c>
      <c r="AM1471">
        <f>IF(OR(Table1[[#This Row],[marital_Married]]=1,Table1[[#This Row],[marital_Together]]=1),1,0)</f>
        <v>1</v>
      </c>
      <c r="AN1471" t="str">
        <f>IF(Table1[[#This Row],[Income]]&gt;=70000,"HIGH INCOME","LOW INCOME")</f>
        <v>LOW INCOME</v>
      </c>
      <c r="AO1471" s="1" t="str">
        <f>IF(Table1[[#This Row],[MNT_TOTAL]]&gt;=900,"HIGH VALUE","LOW VALUE")</f>
        <v>LOW VALUE</v>
      </c>
      <c r="AP14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71" s="1"/>
      <c r="AR1471" s="1"/>
    </row>
    <row r="1472" spans="1:44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61</v>
      </c>
      <c r="X1472">
        <v>2313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998</v>
      </c>
      <c r="AJ1472">
        <v>951</v>
      </c>
      <c r="AK1472">
        <v>0</v>
      </c>
      <c r="AL1472">
        <f t="shared" si="22"/>
        <v>1045</v>
      </c>
      <c r="AM1472">
        <f>IF(OR(Table1[[#This Row],[marital_Married]]=1,Table1[[#This Row],[marital_Together]]=1),1,0)</f>
        <v>1</v>
      </c>
      <c r="AN1472" t="str">
        <f>IF(Table1[[#This Row],[Income]]&gt;=70000,"HIGH INCOME","LOW INCOME")</f>
        <v>LOW INCOME</v>
      </c>
      <c r="AO1472" s="1" t="str">
        <f>IF(Table1[[#This Row],[MNT_TOTAL]]&gt;=900,"HIGH VALUE","LOW VALUE")</f>
        <v>HIGH VALUE</v>
      </c>
      <c r="AP14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2" s="1"/>
      <c r="AR1472" s="1"/>
    </row>
    <row r="1473" spans="1:44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43</v>
      </c>
      <c r="X1473">
        <v>2369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54</v>
      </c>
      <c r="AJ1473">
        <v>53</v>
      </c>
      <c r="AK1473">
        <v>0</v>
      </c>
      <c r="AL1473">
        <f t="shared" si="22"/>
        <v>55</v>
      </c>
      <c r="AM1473">
        <f>IF(OR(Table1[[#This Row],[marital_Married]]=1,Table1[[#This Row],[marital_Together]]=1),1,0)</f>
        <v>0</v>
      </c>
      <c r="AN1473" t="str">
        <f>IF(Table1[[#This Row],[Income]]&gt;=70000,"HIGH INCOME","LOW INCOME")</f>
        <v>LOW INCOME</v>
      </c>
      <c r="AO1473" s="1" t="str">
        <f>IF(Table1[[#This Row],[MNT_TOTAL]]&gt;=900,"HIGH VALUE","LOW VALUE")</f>
        <v>LOW VALUE</v>
      </c>
      <c r="AP14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3" s="1"/>
      <c r="AR1473" s="1"/>
    </row>
    <row r="1474" spans="1:44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51</v>
      </c>
      <c r="X1474">
        <v>2841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1030</v>
      </c>
      <c r="AJ1474">
        <v>996</v>
      </c>
      <c r="AK1474">
        <v>1</v>
      </c>
      <c r="AL1474">
        <f t="shared" ref="AL1474:AL1537" si="23">SUM(E1474:J1474)</f>
        <v>1064</v>
      </c>
      <c r="AM1474">
        <f>IF(OR(Table1[[#This Row],[marital_Married]]=1,Table1[[#This Row],[marital_Together]]=1),1,0)</f>
        <v>1</v>
      </c>
      <c r="AN1474" t="str">
        <f>IF(Table1[[#This Row],[Income]]&gt;=70000,"HIGH INCOME","LOW INCOME")</f>
        <v>LOW INCOME</v>
      </c>
      <c r="AO1474" s="1" t="str">
        <f>IF(Table1[[#This Row],[MNT_TOTAL]]&gt;=900,"HIGH VALUE","LOW VALUE")</f>
        <v>HIGH VALUE</v>
      </c>
      <c r="AP14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4" s="1"/>
      <c r="AR1474" s="1"/>
    </row>
    <row r="1475" spans="1:44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61</v>
      </c>
      <c r="X1475">
        <v>2752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1429</v>
      </c>
      <c r="AJ1475">
        <v>1415</v>
      </c>
      <c r="AK1475">
        <v>0</v>
      </c>
      <c r="AL1475">
        <f t="shared" si="23"/>
        <v>1443</v>
      </c>
      <c r="AM1475">
        <f>IF(OR(Table1[[#This Row],[marital_Married]]=1,Table1[[#This Row],[marital_Together]]=1),1,0)</f>
        <v>1</v>
      </c>
      <c r="AN1475" t="str">
        <f>IF(Table1[[#This Row],[Income]]&gt;=70000,"HIGH INCOME","LOW INCOME")</f>
        <v>HIGH INCOME</v>
      </c>
      <c r="AO1475" s="1" t="str">
        <f>IF(Table1[[#This Row],[MNT_TOTAL]]&gt;=900,"HIGH VALUE","LOW VALUE")</f>
        <v>HIGH VALUE</v>
      </c>
      <c r="AP14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75" s="1"/>
      <c r="AR1475" s="1"/>
    </row>
    <row r="1476" spans="1:44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32</v>
      </c>
      <c r="X1476">
        <v>2691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1277</v>
      </c>
      <c r="AJ1476">
        <v>1188</v>
      </c>
      <c r="AK1476">
        <v>0</v>
      </c>
      <c r="AL1476">
        <f t="shared" si="23"/>
        <v>1366</v>
      </c>
      <c r="AM1476">
        <f>IF(OR(Table1[[#This Row],[marital_Married]]=1,Table1[[#This Row],[marital_Together]]=1),1,0)</f>
        <v>1</v>
      </c>
      <c r="AN1476" t="str">
        <f>IF(Table1[[#This Row],[Income]]&gt;=70000,"HIGH INCOME","LOW INCOME")</f>
        <v>LOW INCOME</v>
      </c>
      <c r="AO1476" s="1" t="str">
        <f>IF(Table1[[#This Row],[MNT_TOTAL]]&gt;=900,"HIGH VALUE","LOW VALUE")</f>
        <v>HIGH VALUE</v>
      </c>
      <c r="AP14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6" s="1"/>
      <c r="AR1476" s="1"/>
    </row>
    <row r="1477" spans="1:44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45</v>
      </c>
      <c r="X1477">
        <v>2662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311</v>
      </c>
      <c r="AJ1477">
        <v>186</v>
      </c>
      <c r="AK1477">
        <v>0</v>
      </c>
      <c r="AL1477">
        <f t="shared" si="23"/>
        <v>436</v>
      </c>
      <c r="AM1477">
        <f>IF(OR(Table1[[#This Row],[marital_Married]]=1,Table1[[#This Row],[marital_Together]]=1),1,0)</f>
        <v>1</v>
      </c>
      <c r="AN1477" t="str">
        <f>IF(Table1[[#This Row],[Income]]&gt;=70000,"HIGH INCOME","LOW INCOME")</f>
        <v>LOW INCOME</v>
      </c>
      <c r="AO1477" s="1" t="str">
        <f>IF(Table1[[#This Row],[MNT_TOTAL]]&gt;=900,"HIGH VALUE","LOW VALUE")</f>
        <v>LOW VALUE</v>
      </c>
      <c r="AP14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77" s="1"/>
      <c r="AR1477" s="1"/>
    </row>
    <row r="1478" spans="1:44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47</v>
      </c>
      <c r="X1478">
        <v>2295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28</v>
      </c>
      <c r="AJ1478">
        <v>18</v>
      </c>
      <c r="AK1478">
        <v>0</v>
      </c>
      <c r="AL1478">
        <f t="shared" si="23"/>
        <v>38</v>
      </c>
      <c r="AM1478">
        <f>IF(OR(Table1[[#This Row],[marital_Married]]=1,Table1[[#This Row],[marital_Together]]=1),1,0)</f>
        <v>0</v>
      </c>
      <c r="AN1478" t="str">
        <f>IF(Table1[[#This Row],[Income]]&gt;=70000,"HIGH INCOME","LOW INCOME")</f>
        <v>LOW INCOME</v>
      </c>
      <c r="AO1478" s="1" t="str">
        <f>IF(Table1[[#This Row],[MNT_TOTAL]]&gt;=900,"HIGH VALUE","LOW VALUE")</f>
        <v>LOW VALUE</v>
      </c>
      <c r="AP14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78" s="1"/>
      <c r="AR1478" s="1"/>
    </row>
    <row r="1479" spans="1:44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43</v>
      </c>
      <c r="X1479">
        <v>2840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386</v>
      </c>
      <c r="AJ1479">
        <v>336</v>
      </c>
      <c r="AK1479">
        <v>0</v>
      </c>
      <c r="AL1479">
        <f t="shared" si="23"/>
        <v>436</v>
      </c>
      <c r="AM1479">
        <f>IF(OR(Table1[[#This Row],[marital_Married]]=1,Table1[[#This Row],[marital_Together]]=1),1,0)</f>
        <v>1</v>
      </c>
      <c r="AN1479" t="str">
        <f>IF(Table1[[#This Row],[Income]]&gt;=70000,"HIGH INCOME","LOW INCOME")</f>
        <v>LOW INCOME</v>
      </c>
      <c r="AO1479" s="1" t="str">
        <f>IF(Table1[[#This Row],[MNT_TOTAL]]&gt;=900,"HIGH VALUE","LOW VALUE")</f>
        <v>LOW VALUE</v>
      </c>
      <c r="AP14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79" s="1"/>
      <c r="AR1479" s="1"/>
    </row>
    <row r="1480" spans="1:44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47</v>
      </c>
      <c r="X1480">
        <v>2760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650</v>
      </c>
      <c r="AJ1480">
        <v>553</v>
      </c>
      <c r="AK1480">
        <v>0</v>
      </c>
      <c r="AL1480">
        <f t="shared" si="23"/>
        <v>747</v>
      </c>
      <c r="AM1480">
        <f>IF(OR(Table1[[#This Row],[marital_Married]]=1,Table1[[#This Row],[marital_Together]]=1),1,0)</f>
        <v>1</v>
      </c>
      <c r="AN1480" t="str">
        <f>IF(Table1[[#This Row],[Income]]&gt;=70000,"HIGH INCOME","LOW INCOME")</f>
        <v>LOW INCOME</v>
      </c>
      <c r="AO1480" s="1" t="str">
        <f>IF(Table1[[#This Row],[MNT_TOTAL]]&gt;=900,"HIGH VALUE","LOW VALUE")</f>
        <v>LOW VALUE</v>
      </c>
      <c r="AP14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80" s="1"/>
      <c r="AR1480" s="1"/>
    </row>
    <row r="1481" spans="1:44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65</v>
      </c>
      <c r="X1481">
        <v>2837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1357</v>
      </c>
      <c r="AJ1481">
        <v>1318</v>
      </c>
      <c r="AK1481">
        <v>1</v>
      </c>
      <c r="AL1481">
        <f t="shared" si="23"/>
        <v>1396</v>
      </c>
      <c r="AM1481">
        <f>IF(OR(Table1[[#This Row],[marital_Married]]=1,Table1[[#This Row],[marital_Together]]=1),1,0)</f>
        <v>0</v>
      </c>
      <c r="AN1481" t="str">
        <f>IF(Table1[[#This Row],[Income]]&gt;=70000,"HIGH INCOME","LOW INCOME")</f>
        <v>LOW INCOME</v>
      </c>
      <c r="AO1481" s="1" t="str">
        <f>IF(Table1[[#This Row],[MNT_TOTAL]]&gt;=900,"HIGH VALUE","LOW VALUE")</f>
        <v>HIGH VALUE</v>
      </c>
      <c r="AP14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1" s="1"/>
      <c r="AR1481" s="1"/>
    </row>
    <row r="1482" spans="1:44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46</v>
      </c>
      <c r="X1482">
        <v>2260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902</v>
      </c>
      <c r="AJ1482">
        <v>876</v>
      </c>
      <c r="AK1482">
        <v>1</v>
      </c>
      <c r="AL1482">
        <f t="shared" si="23"/>
        <v>928</v>
      </c>
      <c r="AM1482">
        <f>IF(OR(Table1[[#This Row],[marital_Married]]=1,Table1[[#This Row],[marital_Together]]=1),1,0)</f>
        <v>1</v>
      </c>
      <c r="AN1482" t="str">
        <f>IF(Table1[[#This Row],[Income]]&gt;=70000,"HIGH INCOME","LOW INCOME")</f>
        <v>LOW INCOME</v>
      </c>
      <c r="AO1482" s="1" t="str">
        <f>IF(Table1[[#This Row],[MNT_TOTAL]]&gt;=900,"HIGH VALUE","LOW VALUE")</f>
        <v>HIGH VALUE</v>
      </c>
      <c r="AP14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2" s="1"/>
      <c r="AR1482" s="1"/>
    </row>
    <row r="1483" spans="1:44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48</v>
      </c>
      <c r="X1483">
        <v>2514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550</v>
      </c>
      <c r="AJ1483">
        <v>458</v>
      </c>
      <c r="AK1483">
        <v>0</v>
      </c>
      <c r="AL1483">
        <f t="shared" si="23"/>
        <v>642</v>
      </c>
      <c r="AM1483">
        <f>IF(OR(Table1[[#This Row],[marital_Married]]=1,Table1[[#This Row],[marital_Together]]=1),1,0)</f>
        <v>1</v>
      </c>
      <c r="AN1483" t="str">
        <f>IF(Table1[[#This Row],[Income]]&gt;=70000,"HIGH INCOME","LOW INCOME")</f>
        <v>LOW INCOME</v>
      </c>
      <c r="AO1483" s="1" t="str">
        <f>IF(Table1[[#This Row],[MNT_TOTAL]]&gt;=900,"HIGH VALUE","LOW VALUE")</f>
        <v>LOW VALUE</v>
      </c>
      <c r="AP14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83" s="1"/>
      <c r="AR1483" s="1"/>
    </row>
    <row r="1484" spans="1:44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45</v>
      </c>
      <c r="X1484">
        <v>2758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991</v>
      </c>
      <c r="AJ1484">
        <v>934</v>
      </c>
      <c r="AK1484">
        <v>1</v>
      </c>
      <c r="AL1484">
        <f t="shared" si="23"/>
        <v>1048</v>
      </c>
      <c r="AM1484">
        <f>IF(OR(Table1[[#This Row],[marital_Married]]=1,Table1[[#This Row],[marital_Together]]=1),1,0)</f>
        <v>1</v>
      </c>
      <c r="AN1484" t="str">
        <f>IF(Table1[[#This Row],[Income]]&gt;=70000,"HIGH INCOME","LOW INCOME")</f>
        <v>LOW INCOME</v>
      </c>
      <c r="AO1484" s="1" t="str">
        <f>IF(Table1[[#This Row],[MNT_TOTAL]]&gt;=900,"HIGH VALUE","LOW VALUE")</f>
        <v>HIGH VALUE</v>
      </c>
      <c r="AP14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4" s="1"/>
      <c r="AR1484" s="1"/>
    </row>
    <row r="1485" spans="1:44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49</v>
      </c>
      <c r="X1485">
        <v>2406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908</v>
      </c>
      <c r="AJ1485">
        <v>873</v>
      </c>
      <c r="AK1485">
        <v>0</v>
      </c>
      <c r="AL1485">
        <f t="shared" si="23"/>
        <v>943</v>
      </c>
      <c r="AM1485">
        <f>IF(OR(Table1[[#This Row],[marital_Married]]=1,Table1[[#This Row],[marital_Together]]=1),1,0)</f>
        <v>1</v>
      </c>
      <c r="AN1485" t="str">
        <f>IF(Table1[[#This Row],[Income]]&gt;=70000,"HIGH INCOME","LOW INCOME")</f>
        <v>HIGH INCOME</v>
      </c>
      <c r="AO1485" s="1" t="str">
        <f>IF(Table1[[#This Row],[MNT_TOTAL]]&gt;=900,"HIGH VALUE","LOW VALUE")</f>
        <v>HIGH VALUE</v>
      </c>
      <c r="AP14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85" s="1"/>
      <c r="AR1485" s="1"/>
    </row>
    <row r="1486" spans="1:44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62</v>
      </c>
      <c r="X1486">
        <v>2545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825</v>
      </c>
      <c r="AJ1486">
        <v>743</v>
      </c>
      <c r="AK1486">
        <v>0</v>
      </c>
      <c r="AL1486">
        <f t="shared" si="23"/>
        <v>907</v>
      </c>
      <c r="AM1486">
        <f>IF(OR(Table1[[#This Row],[marital_Married]]=1,Table1[[#This Row],[marital_Together]]=1),1,0)</f>
        <v>1</v>
      </c>
      <c r="AN1486" t="str">
        <f>IF(Table1[[#This Row],[Income]]&gt;=70000,"HIGH INCOME","LOW INCOME")</f>
        <v>LOW INCOME</v>
      </c>
      <c r="AO1486" s="1" t="str">
        <f>IF(Table1[[#This Row],[MNT_TOTAL]]&gt;=900,"HIGH VALUE","LOW VALUE")</f>
        <v>HIGH VALUE</v>
      </c>
      <c r="AP14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6" s="1"/>
      <c r="AR1486" s="1"/>
    </row>
    <row r="1487" spans="1:44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32</v>
      </c>
      <c r="X1487">
        <v>2306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1153</v>
      </c>
      <c r="AJ1487">
        <v>1108</v>
      </c>
      <c r="AK1487">
        <v>0</v>
      </c>
      <c r="AL1487">
        <f t="shared" si="23"/>
        <v>1198</v>
      </c>
      <c r="AM1487">
        <f>IF(OR(Table1[[#This Row],[marital_Married]]=1,Table1[[#This Row],[marital_Together]]=1),1,0)</f>
        <v>1</v>
      </c>
      <c r="AN1487" t="str">
        <f>IF(Table1[[#This Row],[Income]]&gt;=70000,"HIGH INCOME","LOW INCOME")</f>
        <v>HIGH INCOME</v>
      </c>
      <c r="AO1487" s="1" t="str">
        <f>IF(Table1[[#This Row],[MNT_TOTAL]]&gt;=900,"HIGH VALUE","LOW VALUE")</f>
        <v>HIGH VALUE</v>
      </c>
      <c r="AP14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87" s="1"/>
      <c r="AR1487" s="1"/>
    </row>
    <row r="1488" spans="1:44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45</v>
      </c>
      <c r="X1488">
        <v>2839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84</v>
      </c>
      <c r="AJ1488">
        <v>48</v>
      </c>
      <c r="AK1488">
        <v>0</v>
      </c>
      <c r="AL1488">
        <f t="shared" si="23"/>
        <v>120</v>
      </c>
      <c r="AM1488">
        <f>IF(OR(Table1[[#This Row],[marital_Married]]=1,Table1[[#This Row],[marital_Together]]=1),1,0)</f>
        <v>0</v>
      </c>
      <c r="AN1488" t="str">
        <f>IF(Table1[[#This Row],[Income]]&gt;=70000,"HIGH INCOME","LOW INCOME")</f>
        <v>LOW INCOME</v>
      </c>
      <c r="AO1488" s="1" t="str">
        <f>IF(Table1[[#This Row],[MNT_TOTAL]]&gt;=900,"HIGH VALUE","LOW VALUE")</f>
        <v>LOW VALUE</v>
      </c>
      <c r="AP14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88" s="1"/>
      <c r="AR1488" s="1"/>
    </row>
    <row r="1489" spans="1:44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55</v>
      </c>
      <c r="X1489">
        <v>2740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1551</v>
      </c>
      <c r="AJ1489">
        <v>1444</v>
      </c>
      <c r="AK1489">
        <v>0</v>
      </c>
      <c r="AL1489">
        <f t="shared" si="23"/>
        <v>1658</v>
      </c>
      <c r="AM1489">
        <f>IF(OR(Table1[[#This Row],[marital_Married]]=1,Table1[[#This Row],[marital_Together]]=1),1,0)</f>
        <v>1</v>
      </c>
      <c r="AN1489" t="str">
        <f>IF(Table1[[#This Row],[Income]]&gt;=70000,"HIGH INCOME","LOW INCOME")</f>
        <v>HIGH INCOME</v>
      </c>
      <c r="AO1489" s="1" t="str">
        <f>IF(Table1[[#This Row],[MNT_TOTAL]]&gt;=900,"HIGH VALUE","LOW VALUE")</f>
        <v>HIGH VALUE</v>
      </c>
      <c r="AP14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89" s="1"/>
      <c r="AR1489" s="1"/>
    </row>
    <row r="1490" spans="1:44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34</v>
      </c>
      <c r="X1490">
        <v>2222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1441</v>
      </c>
      <c r="AJ1490">
        <v>1244</v>
      </c>
      <c r="AK1490">
        <v>0</v>
      </c>
      <c r="AL1490">
        <f t="shared" si="23"/>
        <v>1638</v>
      </c>
      <c r="AM1490">
        <f>IF(OR(Table1[[#This Row],[marital_Married]]=1,Table1[[#This Row],[marital_Together]]=1),1,0)</f>
        <v>1</v>
      </c>
      <c r="AN1490" t="str">
        <f>IF(Table1[[#This Row],[Income]]&gt;=70000,"HIGH INCOME","LOW INCOME")</f>
        <v>HIGH INCOME</v>
      </c>
      <c r="AO1490" s="1" t="str">
        <f>IF(Table1[[#This Row],[MNT_TOTAL]]&gt;=900,"HIGH VALUE","LOW VALUE")</f>
        <v>HIGH VALUE</v>
      </c>
      <c r="AP14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490" s="1"/>
      <c r="AR1490" s="1"/>
    </row>
    <row r="1491" spans="1:44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43</v>
      </c>
      <c r="X1491">
        <v>2584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43</v>
      </c>
      <c r="AJ1491">
        <v>13</v>
      </c>
      <c r="AK1491">
        <v>0</v>
      </c>
      <c r="AL1491">
        <f t="shared" si="23"/>
        <v>73</v>
      </c>
      <c r="AM1491">
        <f>IF(OR(Table1[[#This Row],[marital_Married]]=1,Table1[[#This Row],[marital_Together]]=1),1,0)</f>
        <v>1</v>
      </c>
      <c r="AN1491" t="str">
        <f>IF(Table1[[#This Row],[Income]]&gt;=70000,"HIGH INCOME","LOW INCOME")</f>
        <v>LOW INCOME</v>
      </c>
      <c r="AO1491" s="1" t="str">
        <f>IF(Table1[[#This Row],[MNT_TOTAL]]&gt;=900,"HIGH VALUE","LOW VALUE")</f>
        <v>LOW VALUE</v>
      </c>
      <c r="AP14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91" s="1"/>
      <c r="AR1491" s="1"/>
    </row>
    <row r="1492" spans="1:44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40</v>
      </c>
      <c r="X1492">
        <v>2269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224</v>
      </c>
      <c r="AJ1492">
        <v>173</v>
      </c>
      <c r="AK1492">
        <v>0</v>
      </c>
      <c r="AL1492">
        <f t="shared" si="23"/>
        <v>275</v>
      </c>
      <c r="AM1492">
        <f>IF(OR(Table1[[#This Row],[marital_Married]]=1,Table1[[#This Row],[marital_Together]]=1),1,0)</f>
        <v>0</v>
      </c>
      <c r="AN1492" t="str">
        <f>IF(Table1[[#This Row],[Income]]&gt;=70000,"HIGH INCOME","LOW INCOME")</f>
        <v>LOW INCOME</v>
      </c>
      <c r="AO1492" s="1" t="str">
        <f>IF(Table1[[#This Row],[MNT_TOTAL]]&gt;=900,"HIGH VALUE","LOW VALUE")</f>
        <v>LOW VALUE</v>
      </c>
      <c r="AP14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92" s="1"/>
      <c r="AR1492" s="1"/>
    </row>
    <row r="1493" spans="1:44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58</v>
      </c>
      <c r="X1493">
        <v>2737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777</v>
      </c>
      <c r="AJ1493">
        <v>700</v>
      </c>
      <c r="AK1493">
        <v>0</v>
      </c>
      <c r="AL1493">
        <f t="shared" si="23"/>
        <v>854</v>
      </c>
      <c r="AM1493">
        <f>IF(OR(Table1[[#This Row],[marital_Married]]=1,Table1[[#This Row],[marital_Together]]=1),1,0)</f>
        <v>1</v>
      </c>
      <c r="AN1493" t="str">
        <f>IF(Table1[[#This Row],[Income]]&gt;=70000,"HIGH INCOME","LOW INCOME")</f>
        <v>LOW INCOME</v>
      </c>
      <c r="AO1493" s="1" t="str">
        <f>IF(Table1[[#This Row],[MNT_TOTAL]]&gt;=900,"HIGH VALUE","LOW VALUE")</f>
        <v>LOW VALUE</v>
      </c>
      <c r="AP14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93" s="1"/>
      <c r="AR1493" s="1"/>
    </row>
    <row r="1494" spans="1:44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42</v>
      </c>
      <c r="X1494">
        <v>2452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66</v>
      </c>
      <c r="AJ1494">
        <v>54</v>
      </c>
      <c r="AK1494">
        <v>0</v>
      </c>
      <c r="AL1494">
        <f t="shared" si="23"/>
        <v>78</v>
      </c>
      <c r="AM1494">
        <f>IF(OR(Table1[[#This Row],[marital_Married]]=1,Table1[[#This Row],[marital_Together]]=1),1,0)</f>
        <v>1</v>
      </c>
      <c r="AN1494" t="str">
        <f>IF(Table1[[#This Row],[Income]]&gt;=70000,"HIGH INCOME","LOW INCOME")</f>
        <v>LOW INCOME</v>
      </c>
      <c r="AO1494" s="1" t="str">
        <f>IF(Table1[[#This Row],[MNT_TOTAL]]&gt;=900,"HIGH VALUE","LOW VALUE")</f>
        <v>LOW VALUE</v>
      </c>
      <c r="AP14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94" s="1"/>
      <c r="AR1494" s="1"/>
    </row>
    <row r="1495" spans="1:44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48</v>
      </c>
      <c r="X1495">
        <v>2441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88</v>
      </c>
      <c r="AJ1495">
        <v>70</v>
      </c>
      <c r="AK1495">
        <v>0</v>
      </c>
      <c r="AL1495">
        <f t="shared" si="23"/>
        <v>106</v>
      </c>
      <c r="AM1495">
        <f>IF(OR(Table1[[#This Row],[marital_Married]]=1,Table1[[#This Row],[marital_Together]]=1),1,0)</f>
        <v>1</v>
      </c>
      <c r="AN1495" t="str">
        <f>IF(Table1[[#This Row],[Income]]&gt;=70000,"HIGH INCOME","LOW INCOME")</f>
        <v>LOW INCOME</v>
      </c>
      <c r="AO1495" s="1" t="str">
        <f>IF(Table1[[#This Row],[MNT_TOTAL]]&gt;=900,"HIGH VALUE","LOW VALUE")</f>
        <v>LOW VALUE</v>
      </c>
      <c r="AP14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495" s="1"/>
      <c r="AR1495" s="1"/>
    </row>
    <row r="1496" spans="1:44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50</v>
      </c>
      <c r="X1496">
        <v>2754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67</v>
      </c>
      <c r="AJ1496">
        <v>28</v>
      </c>
      <c r="AK1496">
        <v>0</v>
      </c>
      <c r="AL1496">
        <f t="shared" si="23"/>
        <v>106</v>
      </c>
      <c r="AM1496">
        <f>IF(OR(Table1[[#This Row],[marital_Married]]=1,Table1[[#This Row],[marital_Together]]=1),1,0)</f>
        <v>0</v>
      </c>
      <c r="AN1496" t="str">
        <f>IF(Table1[[#This Row],[Income]]&gt;=70000,"HIGH INCOME","LOW INCOME")</f>
        <v>LOW INCOME</v>
      </c>
      <c r="AO1496" s="1" t="str">
        <f>IF(Table1[[#This Row],[MNT_TOTAL]]&gt;=900,"HIGH VALUE","LOW VALUE")</f>
        <v>LOW VALUE</v>
      </c>
      <c r="AP14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96" s="1"/>
      <c r="AR1496" s="1"/>
    </row>
    <row r="1497" spans="1:44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37</v>
      </c>
      <c r="X1497">
        <v>2550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1868</v>
      </c>
      <c r="AJ1497">
        <v>1813</v>
      </c>
      <c r="AK1497">
        <v>0</v>
      </c>
      <c r="AL1497">
        <f t="shared" si="23"/>
        <v>1923</v>
      </c>
      <c r="AM1497">
        <f>IF(OR(Table1[[#This Row],[marital_Married]]=1,Table1[[#This Row],[marital_Together]]=1),1,0)</f>
        <v>0</v>
      </c>
      <c r="AN1497" t="str">
        <f>IF(Table1[[#This Row],[Income]]&gt;=70000,"HIGH INCOME","LOW INCOME")</f>
        <v>HIGH INCOME</v>
      </c>
      <c r="AO1497" s="1" t="str">
        <f>IF(Table1[[#This Row],[MNT_TOTAL]]&gt;=900,"HIGH VALUE","LOW VALUE")</f>
        <v>HIGH VALUE</v>
      </c>
      <c r="AP14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497" s="1"/>
      <c r="AR1497" s="1"/>
    </row>
    <row r="1498" spans="1:44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49</v>
      </c>
      <c r="X1498">
        <v>2558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1466</v>
      </c>
      <c r="AJ1498">
        <v>1270</v>
      </c>
      <c r="AK1498">
        <v>0</v>
      </c>
      <c r="AL1498">
        <f t="shared" si="23"/>
        <v>1662</v>
      </c>
      <c r="AM1498">
        <f>IF(OR(Table1[[#This Row],[marital_Married]]=1,Table1[[#This Row],[marital_Together]]=1),1,0)</f>
        <v>1</v>
      </c>
      <c r="AN1498" t="str">
        <f>IF(Table1[[#This Row],[Income]]&gt;=70000,"HIGH INCOME","LOW INCOME")</f>
        <v>LOW INCOME</v>
      </c>
      <c r="AO1498" s="1" t="str">
        <f>IF(Table1[[#This Row],[MNT_TOTAL]]&gt;=900,"HIGH VALUE","LOW VALUE")</f>
        <v>HIGH VALUE</v>
      </c>
      <c r="AP14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98" s="1"/>
      <c r="AR1498" s="1"/>
    </row>
    <row r="1499" spans="1:44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44</v>
      </c>
      <c r="X1499">
        <v>2301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76</v>
      </c>
      <c r="AJ1499">
        <v>68</v>
      </c>
      <c r="AK1499">
        <v>0</v>
      </c>
      <c r="AL1499">
        <f t="shared" si="23"/>
        <v>84</v>
      </c>
      <c r="AM1499">
        <f>IF(OR(Table1[[#This Row],[marital_Married]]=1,Table1[[#This Row],[marital_Together]]=1),1,0)</f>
        <v>0</v>
      </c>
      <c r="AN1499" t="str">
        <f>IF(Table1[[#This Row],[Income]]&gt;=70000,"HIGH INCOME","LOW INCOME")</f>
        <v>LOW INCOME</v>
      </c>
      <c r="AO1499" s="1" t="str">
        <f>IF(Table1[[#This Row],[MNT_TOTAL]]&gt;=900,"HIGH VALUE","LOW VALUE")</f>
        <v>LOW VALUE</v>
      </c>
      <c r="AP14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499" s="1"/>
      <c r="AR1499" s="1"/>
    </row>
    <row r="1500" spans="1:44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47</v>
      </c>
      <c r="X1500">
        <v>2213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45</v>
      </c>
      <c r="AJ1500">
        <v>42</v>
      </c>
      <c r="AK1500">
        <v>0</v>
      </c>
      <c r="AL1500">
        <f t="shared" si="23"/>
        <v>48</v>
      </c>
      <c r="AM1500">
        <f>IF(OR(Table1[[#This Row],[marital_Married]]=1,Table1[[#This Row],[marital_Together]]=1),1,0)</f>
        <v>1</v>
      </c>
      <c r="AN1500" t="str">
        <f>IF(Table1[[#This Row],[Income]]&gt;=70000,"HIGH INCOME","LOW INCOME")</f>
        <v>LOW INCOME</v>
      </c>
      <c r="AO1500" s="1" t="str">
        <f>IF(Table1[[#This Row],[MNT_TOTAL]]&gt;=900,"HIGH VALUE","LOW VALUE")</f>
        <v>LOW VALUE</v>
      </c>
      <c r="AP15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00" s="1"/>
      <c r="AR1500" s="1"/>
    </row>
    <row r="1501" spans="1:44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47</v>
      </c>
      <c r="X1501">
        <v>2601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4</v>
      </c>
      <c r="AJ1501">
        <v>3</v>
      </c>
      <c r="AK1501">
        <v>0</v>
      </c>
      <c r="AL1501">
        <f t="shared" si="23"/>
        <v>5</v>
      </c>
      <c r="AM1501">
        <f>IF(OR(Table1[[#This Row],[marital_Married]]=1,Table1[[#This Row],[marital_Together]]=1),1,0)</f>
        <v>0</v>
      </c>
      <c r="AN1501" t="str">
        <f>IF(Table1[[#This Row],[Income]]&gt;=70000,"HIGH INCOME","LOW INCOME")</f>
        <v>LOW INCOME</v>
      </c>
      <c r="AO1501" s="1" t="str">
        <f>IF(Table1[[#This Row],[MNT_TOTAL]]&gt;=900,"HIGH VALUE","LOW VALUE")</f>
        <v>LOW VALUE</v>
      </c>
      <c r="AP15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01" s="1"/>
      <c r="AR1501" s="1"/>
    </row>
    <row r="1502" spans="1:44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44</v>
      </c>
      <c r="X1502">
        <v>2745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712</v>
      </c>
      <c r="AJ1502">
        <v>691</v>
      </c>
      <c r="AK1502">
        <v>0</v>
      </c>
      <c r="AL1502">
        <f t="shared" si="23"/>
        <v>733</v>
      </c>
      <c r="AM1502">
        <f>IF(OR(Table1[[#This Row],[marital_Married]]=1,Table1[[#This Row],[marital_Together]]=1),1,0)</f>
        <v>1</v>
      </c>
      <c r="AN1502" t="str">
        <f>IF(Table1[[#This Row],[Income]]&gt;=70000,"HIGH INCOME","LOW INCOME")</f>
        <v>LOW INCOME</v>
      </c>
      <c r="AO1502" s="1" t="str">
        <f>IF(Table1[[#This Row],[MNT_TOTAL]]&gt;=900,"HIGH VALUE","LOW VALUE")</f>
        <v>LOW VALUE</v>
      </c>
      <c r="AP15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02" s="1"/>
      <c r="AR1502" s="1"/>
    </row>
    <row r="1503" spans="1:44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72</v>
      </c>
      <c r="X1503">
        <v>2244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1177</v>
      </c>
      <c r="AJ1503">
        <v>1120</v>
      </c>
      <c r="AK1503">
        <v>0</v>
      </c>
      <c r="AL1503">
        <f t="shared" si="23"/>
        <v>1234</v>
      </c>
      <c r="AM1503">
        <f>IF(OR(Table1[[#This Row],[marital_Married]]=1,Table1[[#This Row],[marital_Together]]=1),1,0)</f>
        <v>0</v>
      </c>
      <c r="AN1503" t="str">
        <f>IF(Table1[[#This Row],[Income]]&gt;=70000,"HIGH INCOME","LOW INCOME")</f>
        <v>HIGH INCOME</v>
      </c>
      <c r="AO1503" s="1" t="str">
        <f>IF(Table1[[#This Row],[MNT_TOTAL]]&gt;=900,"HIGH VALUE","LOW VALUE")</f>
        <v>HIGH VALUE</v>
      </c>
      <c r="AP15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03" s="1"/>
      <c r="AR1503" s="1"/>
    </row>
    <row r="1504" spans="1:44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62</v>
      </c>
      <c r="X1504">
        <v>2724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91</v>
      </c>
      <c r="AJ1504">
        <v>70</v>
      </c>
      <c r="AK1504">
        <v>0</v>
      </c>
      <c r="AL1504">
        <f t="shared" si="23"/>
        <v>112</v>
      </c>
      <c r="AM1504">
        <f>IF(OR(Table1[[#This Row],[marital_Married]]=1,Table1[[#This Row],[marital_Together]]=1),1,0)</f>
        <v>1</v>
      </c>
      <c r="AN1504" t="str">
        <f>IF(Table1[[#This Row],[Income]]&gt;=70000,"HIGH INCOME","LOW INCOME")</f>
        <v>LOW INCOME</v>
      </c>
      <c r="AO1504" s="1" t="str">
        <f>IF(Table1[[#This Row],[MNT_TOTAL]]&gt;=900,"HIGH VALUE","LOW VALUE")</f>
        <v>LOW VALUE</v>
      </c>
      <c r="AP15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04" s="1"/>
      <c r="AR1504" s="1"/>
    </row>
    <row r="1505" spans="1:44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1</v>
      </c>
      <c r="W1505">
        <v>33</v>
      </c>
      <c r="X1505">
        <v>2284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1610</v>
      </c>
      <c r="AJ1505">
        <v>1562</v>
      </c>
      <c r="AK1505">
        <v>2</v>
      </c>
      <c r="AL1505">
        <f t="shared" si="23"/>
        <v>1658</v>
      </c>
      <c r="AM1505">
        <f>IF(OR(Table1[[#This Row],[marital_Married]]=1,Table1[[#This Row],[marital_Together]]=1),1,0)</f>
        <v>0</v>
      </c>
      <c r="AN1505" t="str">
        <f>IF(Table1[[#This Row],[Income]]&gt;=70000,"HIGH INCOME","LOW INCOME")</f>
        <v>HIGH INCOME</v>
      </c>
      <c r="AO1505" s="1" t="str">
        <f>IF(Table1[[#This Row],[MNT_TOTAL]]&gt;=900,"HIGH VALUE","LOW VALUE")</f>
        <v>HIGH VALUE</v>
      </c>
      <c r="AP15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05" s="1"/>
      <c r="AR1505" s="1"/>
    </row>
    <row r="1506" spans="1:44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60</v>
      </c>
      <c r="X1506">
        <v>2621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35</v>
      </c>
      <c r="AJ1506">
        <v>15</v>
      </c>
      <c r="AK1506">
        <v>0</v>
      </c>
      <c r="AL1506">
        <f t="shared" si="23"/>
        <v>55</v>
      </c>
      <c r="AM1506">
        <f>IF(OR(Table1[[#This Row],[marital_Married]]=1,Table1[[#This Row],[marital_Together]]=1),1,0)</f>
        <v>1</v>
      </c>
      <c r="AN1506" t="str">
        <f>IF(Table1[[#This Row],[Income]]&gt;=70000,"HIGH INCOME","LOW INCOME")</f>
        <v>LOW INCOME</v>
      </c>
      <c r="AO1506" s="1" t="str">
        <f>IF(Table1[[#This Row],[MNT_TOTAL]]&gt;=900,"HIGH VALUE","LOW VALUE")</f>
        <v>LOW VALUE</v>
      </c>
      <c r="AP15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06" s="1"/>
      <c r="AR1506" s="1"/>
    </row>
    <row r="1507" spans="1:44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45</v>
      </c>
      <c r="X1507">
        <v>2724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1466</v>
      </c>
      <c r="AJ1507">
        <v>1419</v>
      </c>
      <c r="AK1507">
        <v>1</v>
      </c>
      <c r="AL1507">
        <f t="shared" si="23"/>
        <v>1513</v>
      </c>
      <c r="AM1507">
        <f>IF(OR(Table1[[#This Row],[marital_Married]]=1,Table1[[#This Row],[marital_Together]]=1),1,0)</f>
        <v>1</v>
      </c>
      <c r="AN1507" t="str">
        <f>IF(Table1[[#This Row],[Income]]&gt;=70000,"HIGH INCOME","LOW INCOME")</f>
        <v>LOW INCOME</v>
      </c>
      <c r="AO1507" s="1" t="str">
        <f>IF(Table1[[#This Row],[MNT_TOTAL]]&gt;=900,"HIGH VALUE","LOW VALUE")</f>
        <v>HIGH VALUE</v>
      </c>
      <c r="AP15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07" s="1"/>
      <c r="AR1507" s="1"/>
    </row>
    <row r="1508" spans="1:44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62</v>
      </c>
      <c r="X1508">
        <v>2569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258</v>
      </c>
      <c r="AJ1508">
        <v>245</v>
      </c>
      <c r="AK1508">
        <v>1</v>
      </c>
      <c r="AL1508">
        <f t="shared" si="23"/>
        <v>271</v>
      </c>
      <c r="AM1508">
        <f>IF(OR(Table1[[#This Row],[marital_Married]]=1,Table1[[#This Row],[marital_Together]]=1),1,0)</f>
        <v>1</v>
      </c>
      <c r="AN1508" t="str">
        <f>IF(Table1[[#This Row],[Income]]&gt;=70000,"HIGH INCOME","LOW INCOME")</f>
        <v>LOW INCOME</v>
      </c>
      <c r="AO1508" s="1" t="str">
        <f>IF(Table1[[#This Row],[MNT_TOTAL]]&gt;=900,"HIGH VALUE","LOW VALUE")</f>
        <v>LOW VALUE</v>
      </c>
      <c r="AP15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08" s="1"/>
      <c r="AR1508" s="1"/>
    </row>
    <row r="1509" spans="1:44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45</v>
      </c>
      <c r="X1509">
        <v>2174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896</v>
      </c>
      <c r="AJ1509">
        <v>888</v>
      </c>
      <c r="AK1509">
        <v>0</v>
      </c>
      <c r="AL1509">
        <f t="shared" si="23"/>
        <v>904</v>
      </c>
      <c r="AM1509">
        <f>IF(OR(Table1[[#This Row],[marital_Married]]=1,Table1[[#This Row],[marital_Together]]=1),1,0)</f>
        <v>1</v>
      </c>
      <c r="AN1509" t="str">
        <f>IF(Table1[[#This Row],[Income]]&gt;=70000,"HIGH INCOME","LOW INCOME")</f>
        <v>LOW INCOME</v>
      </c>
      <c r="AO1509" s="1" t="str">
        <f>IF(Table1[[#This Row],[MNT_TOTAL]]&gt;=900,"HIGH VALUE","LOW VALUE")</f>
        <v>HIGH VALUE</v>
      </c>
      <c r="AP15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09" s="1"/>
      <c r="AR1509" s="1"/>
    </row>
    <row r="1510" spans="1:44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45</v>
      </c>
      <c r="X1510">
        <v>2839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84</v>
      </c>
      <c r="AJ1510">
        <v>48</v>
      </c>
      <c r="AK1510">
        <v>0</v>
      </c>
      <c r="AL1510">
        <f t="shared" si="23"/>
        <v>120</v>
      </c>
      <c r="AM1510">
        <f>IF(OR(Table1[[#This Row],[marital_Married]]=1,Table1[[#This Row],[marital_Together]]=1),1,0)</f>
        <v>0</v>
      </c>
      <c r="AN1510" t="str">
        <f>IF(Table1[[#This Row],[Income]]&gt;=70000,"HIGH INCOME","LOW INCOME")</f>
        <v>LOW INCOME</v>
      </c>
      <c r="AO1510" s="1" t="str">
        <f>IF(Table1[[#This Row],[MNT_TOTAL]]&gt;=900,"HIGH VALUE","LOW VALUE")</f>
        <v>LOW VALUE</v>
      </c>
      <c r="AP15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0" s="1"/>
      <c r="AR1510" s="1"/>
    </row>
    <row r="1511" spans="1:44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32</v>
      </c>
      <c r="X1511">
        <v>2822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58</v>
      </c>
      <c r="AJ1511">
        <v>13</v>
      </c>
      <c r="AK1511">
        <v>0</v>
      </c>
      <c r="AL1511">
        <f t="shared" si="23"/>
        <v>103</v>
      </c>
      <c r="AM1511">
        <f>IF(OR(Table1[[#This Row],[marital_Married]]=1,Table1[[#This Row],[marital_Together]]=1),1,0)</f>
        <v>1</v>
      </c>
      <c r="AN1511" t="str">
        <f>IF(Table1[[#This Row],[Income]]&gt;=70000,"HIGH INCOME","LOW INCOME")</f>
        <v>LOW INCOME</v>
      </c>
      <c r="AO1511" s="1" t="str">
        <f>IF(Table1[[#This Row],[MNT_TOTAL]]&gt;=900,"HIGH VALUE","LOW VALUE")</f>
        <v>LOW VALUE</v>
      </c>
      <c r="AP15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11" s="1"/>
      <c r="AR1511" s="1"/>
    </row>
    <row r="1512" spans="1:44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32</v>
      </c>
      <c r="X1512">
        <v>2791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264</v>
      </c>
      <c r="AJ1512">
        <v>259</v>
      </c>
      <c r="AK1512">
        <v>0</v>
      </c>
      <c r="AL1512">
        <f t="shared" si="23"/>
        <v>269</v>
      </c>
      <c r="AM1512">
        <f>IF(OR(Table1[[#This Row],[marital_Married]]=1,Table1[[#This Row],[marital_Together]]=1),1,0)</f>
        <v>0</v>
      </c>
      <c r="AN1512" t="str">
        <f>IF(Table1[[#This Row],[Income]]&gt;=70000,"HIGH INCOME","LOW INCOME")</f>
        <v>LOW INCOME</v>
      </c>
      <c r="AO1512" s="1" t="str">
        <f>IF(Table1[[#This Row],[MNT_TOTAL]]&gt;=900,"HIGH VALUE","LOW VALUE")</f>
        <v>LOW VALUE</v>
      </c>
      <c r="AP15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2" s="1"/>
      <c r="AR1512" s="1"/>
    </row>
    <row r="1513" spans="1:44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31</v>
      </c>
      <c r="X1513">
        <v>2350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18</v>
      </c>
      <c r="AJ1513">
        <v>14</v>
      </c>
      <c r="AK1513">
        <v>0</v>
      </c>
      <c r="AL1513">
        <f t="shared" si="23"/>
        <v>22</v>
      </c>
      <c r="AM1513">
        <f>IF(OR(Table1[[#This Row],[marital_Married]]=1,Table1[[#This Row],[marital_Together]]=1),1,0)</f>
        <v>0</v>
      </c>
      <c r="AN1513" t="str">
        <f>IF(Table1[[#This Row],[Income]]&gt;=70000,"HIGH INCOME","LOW INCOME")</f>
        <v>LOW INCOME</v>
      </c>
      <c r="AO1513" s="1" t="str">
        <f>IF(Table1[[#This Row],[MNT_TOTAL]]&gt;=900,"HIGH VALUE","LOW VALUE")</f>
        <v>LOW VALUE</v>
      </c>
      <c r="AP15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3" s="1"/>
      <c r="AR1513" s="1"/>
    </row>
    <row r="1514" spans="1:44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61</v>
      </c>
      <c r="X1514">
        <v>2363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1054</v>
      </c>
      <c r="AJ1514">
        <v>952</v>
      </c>
      <c r="AK1514">
        <v>0</v>
      </c>
      <c r="AL1514">
        <f t="shared" si="23"/>
        <v>1156</v>
      </c>
      <c r="AM1514">
        <f>IF(OR(Table1[[#This Row],[marital_Married]]=1,Table1[[#This Row],[marital_Together]]=1),1,0)</f>
        <v>0</v>
      </c>
      <c r="AN1514" t="str">
        <f>IF(Table1[[#This Row],[Income]]&gt;=70000,"HIGH INCOME","LOW INCOME")</f>
        <v>LOW INCOME</v>
      </c>
      <c r="AO1514" s="1" t="str">
        <f>IF(Table1[[#This Row],[MNT_TOTAL]]&gt;=900,"HIGH VALUE","LOW VALUE")</f>
        <v>HIGH VALUE</v>
      </c>
      <c r="AP15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4" s="1"/>
      <c r="AR1514" s="1"/>
    </row>
    <row r="1515" spans="1:44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49</v>
      </c>
      <c r="X1515">
        <v>2780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1076</v>
      </c>
      <c r="AJ1515">
        <v>1066</v>
      </c>
      <c r="AK1515">
        <v>1</v>
      </c>
      <c r="AL1515">
        <f t="shared" si="23"/>
        <v>1086</v>
      </c>
      <c r="AM1515">
        <f>IF(OR(Table1[[#This Row],[marital_Married]]=1,Table1[[#This Row],[marital_Together]]=1),1,0)</f>
        <v>1</v>
      </c>
      <c r="AN1515" t="str">
        <f>IF(Table1[[#This Row],[Income]]&gt;=70000,"HIGH INCOME","LOW INCOME")</f>
        <v>HIGH INCOME</v>
      </c>
      <c r="AO1515" s="1" t="str">
        <f>IF(Table1[[#This Row],[MNT_TOTAL]]&gt;=900,"HIGH VALUE","LOW VALUE")</f>
        <v>HIGH VALUE</v>
      </c>
      <c r="AP15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15" s="1"/>
      <c r="AR1515" s="1"/>
    </row>
    <row r="1516" spans="1:44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53</v>
      </c>
      <c r="X1516">
        <v>2692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1037</v>
      </c>
      <c r="AJ1516">
        <v>946</v>
      </c>
      <c r="AK1516">
        <v>0</v>
      </c>
      <c r="AL1516">
        <f t="shared" si="23"/>
        <v>1128</v>
      </c>
      <c r="AM1516">
        <f>IF(OR(Table1[[#This Row],[marital_Married]]=1,Table1[[#This Row],[marital_Together]]=1),1,0)</f>
        <v>0</v>
      </c>
      <c r="AN1516" t="str">
        <f>IF(Table1[[#This Row],[Income]]&gt;=70000,"HIGH INCOME","LOW INCOME")</f>
        <v>LOW INCOME</v>
      </c>
      <c r="AO1516" s="1" t="str">
        <f>IF(Table1[[#This Row],[MNT_TOTAL]]&gt;=900,"HIGH VALUE","LOW VALUE")</f>
        <v>HIGH VALUE</v>
      </c>
      <c r="AP15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6" s="1"/>
      <c r="AR1516" s="1"/>
    </row>
    <row r="1517" spans="1:44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31</v>
      </c>
      <c r="X1517">
        <v>2252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67</v>
      </c>
      <c r="AJ1517">
        <v>62</v>
      </c>
      <c r="AK1517">
        <v>0</v>
      </c>
      <c r="AL1517">
        <f t="shared" si="23"/>
        <v>72</v>
      </c>
      <c r="AM1517">
        <f>IF(OR(Table1[[#This Row],[marital_Married]]=1,Table1[[#This Row],[marital_Together]]=1),1,0)</f>
        <v>1</v>
      </c>
      <c r="AN1517" t="str">
        <f>IF(Table1[[#This Row],[Income]]&gt;=70000,"HIGH INCOME","LOW INCOME")</f>
        <v>LOW INCOME</v>
      </c>
      <c r="AO1517" s="1" t="str">
        <f>IF(Table1[[#This Row],[MNT_TOTAL]]&gt;=900,"HIGH VALUE","LOW VALUE")</f>
        <v>LOW VALUE</v>
      </c>
      <c r="AP15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17" s="1"/>
      <c r="AR1517" s="1"/>
    </row>
    <row r="1518" spans="1:44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59</v>
      </c>
      <c r="X1518">
        <v>2637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910</v>
      </c>
      <c r="AJ1518">
        <v>856</v>
      </c>
      <c r="AK1518">
        <v>0</v>
      </c>
      <c r="AL1518">
        <f t="shared" si="23"/>
        <v>964</v>
      </c>
      <c r="AM1518">
        <f>IF(OR(Table1[[#This Row],[marital_Married]]=1,Table1[[#This Row],[marital_Together]]=1),1,0)</f>
        <v>1</v>
      </c>
      <c r="AN1518" t="str">
        <f>IF(Table1[[#This Row],[Income]]&gt;=70000,"HIGH INCOME","LOW INCOME")</f>
        <v>HIGH INCOME</v>
      </c>
      <c r="AO1518" s="1" t="str">
        <f>IF(Table1[[#This Row],[MNT_TOTAL]]&gt;=900,"HIGH VALUE","LOW VALUE")</f>
        <v>HIGH VALUE</v>
      </c>
      <c r="AP15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18" s="1"/>
      <c r="AR1518" s="1"/>
    </row>
    <row r="1519" spans="1:44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42</v>
      </c>
      <c r="X1519">
        <v>2736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1320</v>
      </c>
      <c r="AJ1519">
        <v>1257</v>
      </c>
      <c r="AK1519">
        <v>0</v>
      </c>
      <c r="AL1519">
        <f t="shared" si="23"/>
        <v>1383</v>
      </c>
      <c r="AM1519">
        <f>IF(OR(Table1[[#This Row],[marital_Married]]=1,Table1[[#This Row],[marital_Together]]=1),1,0)</f>
        <v>1</v>
      </c>
      <c r="AN1519" t="str">
        <f>IF(Table1[[#This Row],[Income]]&gt;=70000,"HIGH INCOME","LOW INCOME")</f>
        <v>LOW INCOME</v>
      </c>
      <c r="AO1519" s="1" t="str">
        <f>IF(Table1[[#This Row],[MNT_TOTAL]]&gt;=900,"HIGH VALUE","LOW VALUE")</f>
        <v>HIGH VALUE</v>
      </c>
      <c r="AP15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19" s="1"/>
      <c r="AR1519" s="1"/>
    </row>
    <row r="1520" spans="1:44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67</v>
      </c>
      <c r="X1520">
        <v>2558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17</v>
      </c>
      <c r="AJ1520">
        <v>16</v>
      </c>
      <c r="AK1520">
        <v>0</v>
      </c>
      <c r="AL1520">
        <f t="shared" si="23"/>
        <v>18</v>
      </c>
      <c r="AM1520">
        <f>IF(OR(Table1[[#This Row],[marital_Married]]=1,Table1[[#This Row],[marital_Together]]=1),1,0)</f>
        <v>0</v>
      </c>
      <c r="AN1520" t="str">
        <f>IF(Table1[[#This Row],[Income]]&gt;=70000,"HIGH INCOME","LOW INCOME")</f>
        <v>LOW INCOME</v>
      </c>
      <c r="AO1520" s="1" t="str">
        <f>IF(Table1[[#This Row],[MNT_TOTAL]]&gt;=900,"HIGH VALUE","LOW VALUE")</f>
        <v>LOW VALUE</v>
      </c>
      <c r="AP15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0" s="1"/>
      <c r="AR1520" s="1"/>
    </row>
    <row r="1521" spans="1:44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56</v>
      </c>
      <c r="X1521">
        <v>2826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763</v>
      </c>
      <c r="AJ1521">
        <v>733</v>
      </c>
      <c r="AK1521">
        <v>0</v>
      </c>
      <c r="AL1521">
        <f t="shared" si="23"/>
        <v>793</v>
      </c>
      <c r="AM1521">
        <f>IF(OR(Table1[[#This Row],[marital_Married]]=1,Table1[[#This Row],[marital_Together]]=1),1,0)</f>
        <v>0</v>
      </c>
      <c r="AN1521" t="str">
        <f>IF(Table1[[#This Row],[Income]]&gt;=70000,"HIGH INCOME","LOW INCOME")</f>
        <v>LOW INCOME</v>
      </c>
      <c r="AO1521" s="1" t="str">
        <f>IF(Table1[[#This Row],[MNT_TOTAL]]&gt;=900,"HIGH VALUE","LOW VALUE")</f>
        <v>LOW VALUE</v>
      </c>
      <c r="AP15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1" s="1"/>
      <c r="AR1521" s="1"/>
    </row>
    <row r="1522" spans="1:44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34</v>
      </c>
      <c r="X1522">
        <v>2691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89</v>
      </c>
      <c r="AJ1522">
        <v>78</v>
      </c>
      <c r="AK1522">
        <v>0</v>
      </c>
      <c r="AL1522">
        <f t="shared" si="23"/>
        <v>100</v>
      </c>
      <c r="AM1522">
        <f>IF(OR(Table1[[#This Row],[marital_Married]]=1,Table1[[#This Row],[marital_Together]]=1),1,0)</f>
        <v>1</v>
      </c>
      <c r="AN1522" t="str">
        <f>IF(Table1[[#This Row],[Income]]&gt;=70000,"HIGH INCOME","LOW INCOME")</f>
        <v>LOW INCOME</v>
      </c>
      <c r="AO1522" s="1" t="str">
        <f>IF(Table1[[#This Row],[MNT_TOTAL]]&gt;=900,"HIGH VALUE","LOW VALUE")</f>
        <v>LOW VALUE</v>
      </c>
      <c r="AP15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22" s="1"/>
      <c r="AR1522" s="1"/>
    </row>
    <row r="1523" spans="1:44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33</v>
      </c>
      <c r="X1523">
        <v>2459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60</v>
      </c>
      <c r="AJ1523">
        <v>40</v>
      </c>
      <c r="AK1523">
        <v>0</v>
      </c>
      <c r="AL1523">
        <f t="shared" si="23"/>
        <v>80</v>
      </c>
      <c r="AM1523">
        <f>IF(OR(Table1[[#This Row],[marital_Married]]=1,Table1[[#This Row],[marital_Together]]=1),1,0)</f>
        <v>1</v>
      </c>
      <c r="AN1523" t="str">
        <f>IF(Table1[[#This Row],[Income]]&gt;=70000,"HIGH INCOME","LOW INCOME")</f>
        <v>LOW INCOME</v>
      </c>
      <c r="AO1523" s="1" t="str">
        <f>IF(Table1[[#This Row],[MNT_TOTAL]]&gt;=900,"HIGH VALUE","LOW VALUE")</f>
        <v>LOW VALUE</v>
      </c>
      <c r="AP15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23" s="1"/>
      <c r="AR1523" s="1"/>
    </row>
    <row r="1524" spans="1:44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57</v>
      </c>
      <c r="X1524">
        <v>2756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118</v>
      </c>
      <c r="AJ1524">
        <v>69</v>
      </c>
      <c r="AK1524">
        <v>0</v>
      </c>
      <c r="AL1524">
        <f t="shared" si="23"/>
        <v>167</v>
      </c>
      <c r="AM1524">
        <f>IF(OR(Table1[[#This Row],[marital_Married]]=1,Table1[[#This Row],[marital_Together]]=1),1,0)</f>
        <v>0</v>
      </c>
      <c r="AN1524" t="str">
        <f>IF(Table1[[#This Row],[Income]]&gt;=70000,"HIGH INCOME","LOW INCOME")</f>
        <v>LOW INCOME</v>
      </c>
      <c r="AO1524" s="1" t="str">
        <f>IF(Table1[[#This Row],[MNT_TOTAL]]&gt;=900,"HIGH VALUE","LOW VALUE")</f>
        <v>LOW VALUE</v>
      </c>
      <c r="AP15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4" s="1"/>
      <c r="AR1524" s="1"/>
    </row>
    <row r="1525" spans="1:44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63</v>
      </c>
      <c r="X1525">
        <v>2684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612</v>
      </c>
      <c r="AJ1525">
        <v>547</v>
      </c>
      <c r="AK1525">
        <v>0</v>
      </c>
      <c r="AL1525">
        <f t="shared" si="23"/>
        <v>677</v>
      </c>
      <c r="AM1525">
        <f>IF(OR(Table1[[#This Row],[marital_Married]]=1,Table1[[#This Row],[marital_Together]]=1),1,0)</f>
        <v>0</v>
      </c>
      <c r="AN1525" t="str">
        <f>IF(Table1[[#This Row],[Income]]&gt;=70000,"HIGH INCOME","LOW INCOME")</f>
        <v>LOW INCOME</v>
      </c>
      <c r="AO1525" s="1" t="str">
        <f>IF(Table1[[#This Row],[MNT_TOTAL]]&gt;=900,"HIGH VALUE","LOW VALUE")</f>
        <v>LOW VALUE</v>
      </c>
      <c r="AP15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5" s="1"/>
      <c r="AR1525" s="1"/>
    </row>
    <row r="1526" spans="1:44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45</v>
      </c>
      <c r="X1526">
        <v>2616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17</v>
      </c>
      <c r="AJ1526">
        <v>11</v>
      </c>
      <c r="AK1526">
        <v>0</v>
      </c>
      <c r="AL1526">
        <f t="shared" si="23"/>
        <v>23</v>
      </c>
      <c r="AM1526">
        <f>IF(OR(Table1[[#This Row],[marital_Married]]=1,Table1[[#This Row],[marital_Together]]=1),1,0)</f>
        <v>1</v>
      </c>
      <c r="AN1526" t="str">
        <f>IF(Table1[[#This Row],[Income]]&gt;=70000,"HIGH INCOME","LOW INCOME")</f>
        <v>LOW INCOME</v>
      </c>
      <c r="AO1526" s="1" t="str">
        <f>IF(Table1[[#This Row],[MNT_TOTAL]]&gt;=900,"HIGH VALUE","LOW VALUE")</f>
        <v>LOW VALUE</v>
      </c>
      <c r="AP15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26" s="1"/>
      <c r="AR1526" s="1"/>
    </row>
    <row r="1527" spans="1:44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69</v>
      </c>
      <c r="X1527">
        <v>2419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91</v>
      </c>
      <c r="AJ1527">
        <v>90</v>
      </c>
      <c r="AK1527">
        <v>0</v>
      </c>
      <c r="AL1527">
        <f t="shared" si="23"/>
        <v>92</v>
      </c>
      <c r="AM1527">
        <f>IF(OR(Table1[[#This Row],[marital_Married]]=1,Table1[[#This Row],[marital_Together]]=1),1,0)</f>
        <v>0</v>
      </c>
      <c r="AN1527" t="str">
        <f>IF(Table1[[#This Row],[Income]]&gt;=70000,"HIGH INCOME","LOW INCOME")</f>
        <v>LOW INCOME</v>
      </c>
      <c r="AO1527" s="1" t="str">
        <f>IF(Table1[[#This Row],[MNT_TOTAL]]&gt;=900,"HIGH VALUE","LOW VALUE")</f>
        <v>LOW VALUE</v>
      </c>
      <c r="AP15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7" s="1"/>
      <c r="AR1527" s="1"/>
    </row>
    <row r="1528" spans="1:44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55</v>
      </c>
      <c r="X1528">
        <v>2272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560</v>
      </c>
      <c r="AJ1528">
        <v>479</v>
      </c>
      <c r="AK1528">
        <v>0</v>
      </c>
      <c r="AL1528">
        <f t="shared" si="23"/>
        <v>641</v>
      </c>
      <c r="AM1528">
        <f>IF(OR(Table1[[#This Row],[marital_Married]]=1,Table1[[#This Row],[marital_Together]]=1),1,0)</f>
        <v>1</v>
      </c>
      <c r="AN1528" t="str">
        <f>IF(Table1[[#This Row],[Income]]&gt;=70000,"HIGH INCOME","LOW INCOME")</f>
        <v>HIGH INCOME</v>
      </c>
      <c r="AO1528" s="1" t="str">
        <f>IF(Table1[[#This Row],[MNT_TOTAL]]&gt;=900,"HIGH VALUE","LOW VALUE")</f>
        <v>LOW VALUE</v>
      </c>
      <c r="AP15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8" s="1"/>
      <c r="AR1528" s="1"/>
    </row>
    <row r="1529" spans="1:44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64</v>
      </c>
      <c r="X1529">
        <v>2824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1085</v>
      </c>
      <c r="AJ1529">
        <v>1064</v>
      </c>
      <c r="AK1529">
        <v>0</v>
      </c>
      <c r="AL1529">
        <f t="shared" si="23"/>
        <v>1106</v>
      </c>
      <c r="AM1529">
        <f>IF(OR(Table1[[#This Row],[marital_Married]]=1,Table1[[#This Row],[marital_Together]]=1),1,0)</f>
        <v>1</v>
      </c>
      <c r="AN1529" t="str">
        <f>IF(Table1[[#This Row],[Income]]&gt;=70000,"HIGH INCOME","LOW INCOME")</f>
        <v>LOW INCOME</v>
      </c>
      <c r="AO1529" s="1" t="str">
        <f>IF(Table1[[#This Row],[MNT_TOTAL]]&gt;=900,"HIGH VALUE","LOW VALUE")</f>
        <v>HIGH VALUE</v>
      </c>
      <c r="AP15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29" s="1"/>
      <c r="AR1529" s="1"/>
    </row>
    <row r="1530" spans="1:44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58</v>
      </c>
      <c r="X1530">
        <v>2196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833</v>
      </c>
      <c r="AJ1530">
        <v>633</v>
      </c>
      <c r="AK1530">
        <v>1</v>
      </c>
      <c r="AL1530">
        <f t="shared" si="23"/>
        <v>1033</v>
      </c>
      <c r="AM1530">
        <f>IF(OR(Table1[[#This Row],[marital_Married]]=1,Table1[[#This Row],[marital_Together]]=1),1,0)</f>
        <v>1</v>
      </c>
      <c r="AN1530" t="str">
        <f>IF(Table1[[#This Row],[Income]]&gt;=70000,"HIGH INCOME","LOW INCOME")</f>
        <v>HIGH INCOME</v>
      </c>
      <c r="AO1530" s="1" t="str">
        <f>IF(Table1[[#This Row],[MNT_TOTAL]]&gt;=900,"HIGH VALUE","LOW VALUE")</f>
        <v>HIGH VALUE</v>
      </c>
      <c r="AP15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30" s="1"/>
      <c r="AR1530" s="1"/>
    </row>
    <row r="1531" spans="1:44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46</v>
      </c>
      <c r="X1531">
        <v>2845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>
        <v>1163</v>
      </c>
      <c r="AJ1531">
        <v>1152</v>
      </c>
      <c r="AK1531">
        <v>0</v>
      </c>
      <c r="AL1531">
        <f t="shared" si="23"/>
        <v>1174</v>
      </c>
      <c r="AM1531">
        <f>IF(OR(Table1[[#This Row],[marital_Married]]=1,Table1[[#This Row],[marital_Together]]=1),1,0)</f>
        <v>1</v>
      </c>
      <c r="AN1531" t="str">
        <f>IF(Table1[[#This Row],[Income]]&gt;=70000,"HIGH INCOME","LOW INCOME")</f>
        <v>LOW INCOME</v>
      </c>
      <c r="AO1531" s="1" t="str">
        <f>IF(Table1[[#This Row],[MNT_TOTAL]]&gt;=900,"HIGH VALUE","LOW VALUE")</f>
        <v>HIGH VALUE</v>
      </c>
      <c r="AP15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31" s="1"/>
      <c r="AR1531" s="1"/>
    </row>
    <row r="1532" spans="1:44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53</v>
      </c>
      <c r="X1532">
        <v>2446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20</v>
      </c>
      <c r="AJ1532">
        <v>15</v>
      </c>
      <c r="AK1532">
        <v>0</v>
      </c>
      <c r="AL1532">
        <f t="shared" si="23"/>
        <v>25</v>
      </c>
      <c r="AM1532">
        <f>IF(OR(Table1[[#This Row],[marital_Married]]=1,Table1[[#This Row],[marital_Together]]=1),1,0)</f>
        <v>1</v>
      </c>
      <c r="AN1532" t="str">
        <f>IF(Table1[[#This Row],[Income]]&gt;=70000,"HIGH INCOME","LOW INCOME")</f>
        <v>LOW INCOME</v>
      </c>
      <c r="AO1532" s="1" t="str">
        <f>IF(Table1[[#This Row],[MNT_TOTAL]]&gt;=900,"HIGH VALUE","LOW VALUE")</f>
        <v>LOW VALUE</v>
      </c>
      <c r="AP15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2" s="1"/>
      <c r="AR1532" s="1"/>
    </row>
    <row r="1533" spans="1:44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58</v>
      </c>
      <c r="X1533">
        <v>2768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221</v>
      </c>
      <c r="AJ1533">
        <v>202</v>
      </c>
      <c r="AK1533">
        <v>1</v>
      </c>
      <c r="AL1533">
        <f t="shared" si="23"/>
        <v>240</v>
      </c>
      <c r="AM1533">
        <f>IF(OR(Table1[[#This Row],[marital_Married]]=1,Table1[[#This Row],[marital_Together]]=1),1,0)</f>
        <v>1</v>
      </c>
      <c r="AN1533" t="str">
        <f>IF(Table1[[#This Row],[Income]]&gt;=70000,"HIGH INCOME","LOW INCOME")</f>
        <v>LOW INCOME</v>
      </c>
      <c r="AO1533" s="1" t="str">
        <f>IF(Table1[[#This Row],[MNT_TOTAL]]&gt;=900,"HIGH VALUE","LOW VALUE")</f>
        <v>LOW VALUE</v>
      </c>
      <c r="AP15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3" s="1"/>
      <c r="AR1533" s="1"/>
    </row>
    <row r="1534" spans="1:44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44</v>
      </c>
      <c r="X1534">
        <v>2539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15</v>
      </c>
      <c r="AJ1534">
        <v>10</v>
      </c>
      <c r="AK1534">
        <v>0</v>
      </c>
      <c r="AL1534">
        <f t="shared" si="23"/>
        <v>20</v>
      </c>
      <c r="AM1534">
        <f>IF(OR(Table1[[#This Row],[marital_Married]]=1,Table1[[#This Row],[marital_Together]]=1),1,0)</f>
        <v>0</v>
      </c>
      <c r="AN1534" t="str">
        <f>IF(Table1[[#This Row],[Income]]&gt;=70000,"HIGH INCOME","LOW INCOME")</f>
        <v>LOW INCOME</v>
      </c>
      <c r="AO1534" s="1" t="str">
        <f>IF(Table1[[#This Row],[MNT_TOTAL]]&gt;=900,"HIGH VALUE","LOW VALUE")</f>
        <v>LOW VALUE</v>
      </c>
      <c r="AP15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34" s="1"/>
      <c r="AR1534" s="1"/>
    </row>
    <row r="1535" spans="1:44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59</v>
      </c>
      <c r="X1535">
        <v>2681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74</v>
      </c>
      <c r="AJ1535">
        <v>46</v>
      </c>
      <c r="AK1535">
        <v>0</v>
      </c>
      <c r="AL1535">
        <f t="shared" si="23"/>
        <v>102</v>
      </c>
      <c r="AM1535">
        <f>IF(OR(Table1[[#This Row],[marital_Married]]=1,Table1[[#This Row],[marital_Together]]=1),1,0)</f>
        <v>0</v>
      </c>
      <c r="AN1535" t="str">
        <f>IF(Table1[[#This Row],[Income]]&gt;=70000,"HIGH INCOME","LOW INCOME")</f>
        <v>LOW INCOME</v>
      </c>
      <c r="AO1535" s="1" t="str">
        <f>IF(Table1[[#This Row],[MNT_TOTAL]]&gt;=900,"HIGH VALUE","LOW VALUE")</f>
        <v>LOW VALUE</v>
      </c>
      <c r="AP15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35" s="1"/>
      <c r="AR1535" s="1"/>
    </row>
    <row r="1536" spans="1:44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44</v>
      </c>
      <c r="X1536">
        <v>2502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901</v>
      </c>
      <c r="AJ1536">
        <v>768</v>
      </c>
      <c r="AK1536">
        <v>0</v>
      </c>
      <c r="AL1536">
        <f t="shared" si="23"/>
        <v>1034</v>
      </c>
      <c r="AM1536">
        <f>IF(OR(Table1[[#This Row],[marital_Married]]=1,Table1[[#This Row],[marital_Together]]=1),1,0)</f>
        <v>0</v>
      </c>
      <c r="AN1536" t="str">
        <f>IF(Table1[[#This Row],[Income]]&gt;=70000,"HIGH INCOME","LOW INCOME")</f>
        <v>HIGH INCOME</v>
      </c>
      <c r="AO1536" s="1" t="str">
        <f>IF(Table1[[#This Row],[MNT_TOTAL]]&gt;=900,"HIGH VALUE","LOW VALUE")</f>
        <v>HIGH VALUE</v>
      </c>
      <c r="AP15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36" s="1"/>
      <c r="AR1536" s="1"/>
    </row>
    <row r="1537" spans="1:44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37</v>
      </c>
      <c r="X1537">
        <v>2659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120</v>
      </c>
      <c r="AJ1537">
        <v>84</v>
      </c>
      <c r="AK1537">
        <v>0</v>
      </c>
      <c r="AL1537">
        <f t="shared" si="23"/>
        <v>156</v>
      </c>
      <c r="AM1537">
        <f>IF(OR(Table1[[#This Row],[marital_Married]]=1,Table1[[#This Row],[marital_Together]]=1),1,0)</f>
        <v>1</v>
      </c>
      <c r="AN1537" t="str">
        <f>IF(Table1[[#This Row],[Income]]&gt;=70000,"HIGH INCOME","LOW INCOME")</f>
        <v>LOW INCOME</v>
      </c>
      <c r="AO1537" s="1" t="str">
        <f>IF(Table1[[#This Row],[MNT_TOTAL]]&gt;=900,"HIGH VALUE","LOW VALUE")</f>
        <v>LOW VALUE</v>
      </c>
      <c r="AP15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7" s="1"/>
      <c r="AR1537" s="1"/>
    </row>
    <row r="1538" spans="1:44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44</v>
      </c>
      <c r="X1538">
        <v>2396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437</v>
      </c>
      <c r="AJ1538">
        <v>416</v>
      </c>
      <c r="AK1538">
        <v>0</v>
      </c>
      <c r="AL1538">
        <f t="shared" ref="AL1538:AL1601" si="24">SUM(E1538:J1538)</f>
        <v>458</v>
      </c>
      <c r="AM1538">
        <f>IF(OR(Table1[[#This Row],[marital_Married]]=1,Table1[[#This Row],[marital_Together]]=1),1,0)</f>
        <v>1</v>
      </c>
      <c r="AN1538" t="str">
        <f>IF(Table1[[#This Row],[Income]]&gt;=70000,"HIGH INCOME","LOW INCOME")</f>
        <v>LOW INCOME</v>
      </c>
      <c r="AO1538" s="1" t="str">
        <f>IF(Table1[[#This Row],[MNT_TOTAL]]&gt;=900,"HIGH VALUE","LOW VALUE")</f>
        <v>LOW VALUE</v>
      </c>
      <c r="AP15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8" s="1"/>
      <c r="AR1538" s="1"/>
    </row>
    <row r="1539" spans="1:44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32</v>
      </c>
      <c r="X1539">
        <v>2764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17</v>
      </c>
      <c r="AJ1539">
        <v>17</v>
      </c>
      <c r="AK1539">
        <v>0</v>
      </c>
      <c r="AL1539">
        <f t="shared" si="24"/>
        <v>17</v>
      </c>
      <c r="AM1539">
        <f>IF(OR(Table1[[#This Row],[marital_Married]]=1,Table1[[#This Row],[marital_Together]]=1),1,0)</f>
        <v>1</v>
      </c>
      <c r="AN1539" t="str">
        <f>IF(Table1[[#This Row],[Income]]&gt;=70000,"HIGH INCOME","LOW INCOME")</f>
        <v>LOW INCOME</v>
      </c>
      <c r="AO1539" s="1" t="str">
        <f>IF(Table1[[#This Row],[MNT_TOTAL]]&gt;=900,"HIGH VALUE","LOW VALUE")</f>
        <v>LOW VALUE</v>
      </c>
      <c r="AP15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39" s="1"/>
      <c r="AR1539" s="1"/>
    </row>
    <row r="1540" spans="1:44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66</v>
      </c>
      <c r="X1540">
        <v>2170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754</v>
      </c>
      <c r="AJ1540">
        <v>716</v>
      </c>
      <c r="AK1540">
        <v>0</v>
      </c>
      <c r="AL1540">
        <f t="shared" si="24"/>
        <v>792</v>
      </c>
      <c r="AM1540">
        <f>IF(OR(Table1[[#This Row],[marital_Married]]=1,Table1[[#This Row],[marital_Together]]=1),1,0)</f>
        <v>0</v>
      </c>
      <c r="AN1540" t="str">
        <f>IF(Table1[[#This Row],[Income]]&gt;=70000,"HIGH INCOME","LOW INCOME")</f>
        <v>HIGH INCOME</v>
      </c>
      <c r="AO1540" s="1" t="str">
        <f>IF(Table1[[#This Row],[MNT_TOTAL]]&gt;=900,"HIGH VALUE","LOW VALUE")</f>
        <v>LOW VALUE</v>
      </c>
      <c r="AP15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40" s="1"/>
      <c r="AR1540" s="1"/>
    </row>
    <row r="1541" spans="1:44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35</v>
      </c>
      <c r="X1541">
        <v>2172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89</v>
      </c>
      <c r="AJ1541">
        <v>86</v>
      </c>
      <c r="AK1541">
        <v>0</v>
      </c>
      <c r="AL1541">
        <f t="shared" si="24"/>
        <v>92</v>
      </c>
      <c r="AM1541">
        <f>IF(OR(Table1[[#This Row],[marital_Married]]=1,Table1[[#This Row],[marital_Together]]=1),1,0)</f>
        <v>1</v>
      </c>
      <c r="AN1541" t="str">
        <f>IF(Table1[[#This Row],[Income]]&gt;=70000,"HIGH INCOME","LOW INCOME")</f>
        <v>LOW INCOME</v>
      </c>
      <c r="AO1541" s="1" t="str">
        <f>IF(Table1[[#This Row],[MNT_TOTAL]]&gt;=900,"HIGH VALUE","LOW VALUE")</f>
        <v>LOW VALUE</v>
      </c>
      <c r="AP15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41" s="1"/>
      <c r="AR1541" s="1"/>
    </row>
    <row r="1542" spans="1:44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68</v>
      </c>
      <c r="X1542">
        <v>2685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385</v>
      </c>
      <c r="AJ1542">
        <v>363</v>
      </c>
      <c r="AK1542">
        <v>0</v>
      </c>
      <c r="AL1542">
        <f t="shared" si="24"/>
        <v>407</v>
      </c>
      <c r="AM1542">
        <f>IF(OR(Table1[[#This Row],[marital_Married]]=1,Table1[[#This Row],[marital_Together]]=1),1,0)</f>
        <v>0</v>
      </c>
      <c r="AN1542" t="str">
        <f>IF(Table1[[#This Row],[Income]]&gt;=70000,"HIGH INCOME","LOW INCOME")</f>
        <v>LOW INCOME</v>
      </c>
      <c r="AO1542" s="1" t="str">
        <f>IF(Table1[[#This Row],[MNT_TOTAL]]&gt;=900,"HIGH VALUE","LOW VALUE")</f>
        <v>LOW VALUE</v>
      </c>
      <c r="AP15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42" s="1"/>
      <c r="AR1542" s="1"/>
    </row>
    <row r="1543" spans="1:44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56</v>
      </c>
      <c r="X1543">
        <v>2733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1257</v>
      </c>
      <c r="AJ1543">
        <v>1245</v>
      </c>
      <c r="AK1543">
        <v>1</v>
      </c>
      <c r="AL1543">
        <f t="shared" si="24"/>
        <v>1269</v>
      </c>
      <c r="AM1543">
        <f>IF(OR(Table1[[#This Row],[marital_Married]]=1,Table1[[#This Row],[marital_Together]]=1),1,0)</f>
        <v>0</v>
      </c>
      <c r="AN1543" t="str">
        <f>IF(Table1[[#This Row],[Income]]&gt;=70000,"HIGH INCOME","LOW INCOME")</f>
        <v>LOW INCOME</v>
      </c>
      <c r="AO1543" s="1" t="str">
        <f>IF(Table1[[#This Row],[MNT_TOTAL]]&gt;=900,"HIGH VALUE","LOW VALUE")</f>
        <v>HIGH VALUE</v>
      </c>
      <c r="AP15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43" s="1"/>
      <c r="AR1543" s="1"/>
    </row>
    <row r="1544" spans="1:44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66</v>
      </c>
      <c r="X1544">
        <v>2234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810</v>
      </c>
      <c r="AJ1544">
        <v>779</v>
      </c>
      <c r="AK1544">
        <v>0</v>
      </c>
      <c r="AL1544">
        <f t="shared" si="24"/>
        <v>841</v>
      </c>
      <c r="AM1544">
        <f>IF(OR(Table1[[#This Row],[marital_Married]]=1,Table1[[#This Row],[marital_Together]]=1),1,0)</f>
        <v>1</v>
      </c>
      <c r="AN1544" t="str">
        <f>IF(Table1[[#This Row],[Income]]&gt;=70000,"HIGH INCOME","LOW INCOME")</f>
        <v>HIGH INCOME</v>
      </c>
      <c r="AO1544" s="1" t="str">
        <f>IF(Table1[[#This Row],[MNT_TOTAL]]&gt;=900,"HIGH VALUE","LOW VALUE")</f>
        <v>LOW VALUE</v>
      </c>
      <c r="AP15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44" s="1"/>
      <c r="AR1544" s="1"/>
    </row>
    <row r="1545" spans="1:44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70</v>
      </c>
      <c r="X1545">
        <v>2799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597</v>
      </c>
      <c r="AJ1545">
        <v>561</v>
      </c>
      <c r="AK1545">
        <v>0</v>
      </c>
      <c r="AL1545">
        <f t="shared" si="24"/>
        <v>633</v>
      </c>
      <c r="AM1545">
        <f>IF(OR(Table1[[#This Row],[marital_Married]]=1,Table1[[#This Row],[marital_Together]]=1),1,0)</f>
        <v>1</v>
      </c>
      <c r="AN1545" t="str">
        <f>IF(Table1[[#This Row],[Income]]&gt;=70000,"HIGH INCOME","LOW INCOME")</f>
        <v>LOW INCOME</v>
      </c>
      <c r="AO1545" s="1" t="str">
        <f>IF(Table1[[#This Row],[MNT_TOTAL]]&gt;=900,"HIGH VALUE","LOW VALUE")</f>
        <v>LOW VALUE</v>
      </c>
      <c r="AP15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45" s="1"/>
      <c r="AR1545" s="1"/>
    </row>
    <row r="1546" spans="1:44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63</v>
      </c>
      <c r="X1546">
        <v>2618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953</v>
      </c>
      <c r="AJ1546">
        <v>887</v>
      </c>
      <c r="AK1546">
        <v>0</v>
      </c>
      <c r="AL1546">
        <f t="shared" si="24"/>
        <v>1019</v>
      </c>
      <c r="AM1546">
        <f>IF(OR(Table1[[#This Row],[marital_Married]]=1,Table1[[#This Row],[marital_Together]]=1),1,0)</f>
        <v>1</v>
      </c>
      <c r="AN1546" t="str">
        <f>IF(Table1[[#This Row],[Income]]&gt;=70000,"HIGH INCOME","LOW INCOME")</f>
        <v>HIGH INCOME</v>
      </c>
      <c r="AO1546" s="1" t="str">
        <f>IF(Table1[[#This Row],[MNT_TOTAL]]&gt;=900,"HIGH VALUE","LOW VALUE")</f>
        <v>HIGH VALUE</v>
      </c>
      <c r="AP15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46" s="1"/>
      <c r="AR1546" s="1"/>
    </row>
    <row r="1547" spans="1:44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1</v>
      </c>
      <c r="W1547">
        <v>74</v>
      </c>
      <c r="X1547">
        <v>2741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1270</v>
      </c>
      <c r="AJ1547">
        <v>1225</v>
      </c>
      <c r="AK1547">
        <v>2</v>
      </c>
      <c r="AL1547">
        <f t="shared" si="24"/>
        <v>1315</v>
      </c>
      <c r="AM1547">
        <f>IF(OR(Table1[[#This Row],[marital_Married]]=1,Table1[[#This Row],[marital_Together]]=1),1,0)</f>
        <v>0</v>
      </c>
      <c r="AN1547" t="str">
        <f>IF(Table1[[#This Row],[Income]]&gt;=70000,"HIGH INCOME","LOW INCOME")</f>
        <v>HIGH INCOME</v>
      </c>
      <c r="AO1547" s="1" t="str">
        <f>IF(Table1[[#This Row],[MNT_TOTAL]]&gt;=900,"HIGH VALUE","LOW VALUE")</f>
        <v>HIGH VALUE</v>
      </c>
      <c r="AP15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47" s="1"/>
      <c r="AR1547" s="1"/>
    </row>
    <row r="1548" spans="1:44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66</v>
      </c>
      <c r="X1548">
        <v>2762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49</v>
      </c>
      <c r="AJ1548">
        <v>44</v>
      </c>
      <c r="AK1548">
        <v>0</v>
      </c>
      <c r="AL1548">
        <f t="shared" si="24"/>
        <v>54</v>
      </c>
      <c r="AM1548">
        <f>IF(OR(Table1[[#This Row],[marital_Married]]=1,Table1[[#This Row],[marital_Together]]=1),1,0)</f>
        <v>1</v>
      </c>
      <c r="AN1548" t="str">
        <f>IF(Table1[[#This Row],[Income]]&gt;=70000,"HIGH INCOME","LOW INCOME")</f>
        <v>LOW INCOME</v>
      </c>
      <c r="AO1548" s="1" t="str">
        <f>IF(Table1[[#This Row],[MNT_TOTAL]]&gt;=900,"HIGH VALUE","LOW VALUE")</f>
        <v>LOW VALUE</v>
      </c>
      <c r="AP15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48" s="1"/>
      <c r="AR1548" s="1"/>
    </row>
    <row r="1549" spans="1:44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1</v>
      </c>
      <c r="W1549">
        <v>29</v>
      </c>
      <c r="X1549">
        <v>2295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2429</v>
      </c>
      <c r="AJ1549">
        <v>2333</v>
      </c>
      <c r="AK1549">
        <v>1</v>
      </c>
      <c r="AL1549">
        <f t="shared" si="24"/>
        <v>2525</v>
      </c>
      <c r="AM1549">
        <f>IF(OR(Table1[[#This Row],[marital_Married]]=1,Table1[[#This Row],[marital_Together]]=1),1,0)</f>
        <v>0</v>
      </c>
      <c r="AN1549" t="str">
        <f>IF(Table1[[#This Row],[Income]]&gt;=70000,"HIGH INCOME","LOW INCOME")</f>
        <v>HIGH INCOME</v>
      </c>
      <c r="AO1549" s="1" t="str">
        <f>IF(Table1[[#This Row],[MNT_TOTAL]]&gt;=900,"HIGH VALUE","LOW VALUE")</f>
        <v>HIGH VALUE</v>
      </c>
      <c r="AP15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49" s="1"/>
      <c r="AR1549" s="1"/>
    </row>
    <row r="1550" spans="1:44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34</v>
      </c>
      <c r="X1550">
        <v>2403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41</v>
      </c>
      <c r="AJ1550">
        <v>30</v>
      </c>
      <c r="AK1550">
        <v>0</v>
      </c>
      <c r="AL1550">
        <f t="shared" si="24"/>
        <v>52</v>
      </c>
      <c r="AM1550">
        <f>IF(OR(Table1[[#This Row],[marital_Married]]=1,Table1[[#This Row],[marital_Together]]=1),1,0)</f>
        <v>1</v>
      </c>
      <c r="AN1550" t="str">
        <f>IF(Table1[[#This Row],[Income]]&gt;=70000,"HIGH INCOME","LOW INCOME")</f>
        <v>LOW INCOME</v>
      </c>
      <c r="AO1550" s="1" t="str">
        <f>IF(Table1[[#This Row],[MNT_TOTAL]]&gt;=900,"HIGH VALUE","LOW VALUE")</f>
        <v>LOW VALUE</v>
      </c>
      <c r="AP15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0" s="1"/>
      <c r="AR1550" s="1"/>
    </row>
    <row r="1551" spans="1:44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43</v>
      </c>
      <c r="X1551">
        <v>2840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386</v>
      </c>
      <c r="AJ1551">
        <v>336</v>
      </c>
      <c r="AK1551">
        <v>0</v>
      </c>
      <c r="AL1551">
        <f t="shared" si="24"/>
        <v>436</v>
      </c>
      <c r="AM1551">
        <f>IF(OR(Table1[[#This Row],[marital_Married]]=1,Table1[[#This Row],[marital_Together]]=1),1,0)</f>
        <v>1</v>
      </c>
      <c r="AN1551" t="str">
        <f>IF(Table1[[#This Row],[Income]]&gt;=70000,"HIGH INCOME","LOW INCOME")</f>
        <v>LOW INCOME</v>
      </c>
      <c r="AO1551" s="1" t="str">
        <f>IF(Table1[[#This Row],[MNT_TOTAL]]&gt;=900,"HIGH VALUE","LOW VALUE")</f>
        <v>LOW VALUE</v>
      </c>
      <c r="AP15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1" s="1"/>
      <c r="AR1551" s="1"/>
    </row>
    <row r="1552" spans="1:44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60</v>
      </c>
      <c r="X1552">
        <v>2616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256</v>
      </c>
      <c r="AJ1552">
        <v>244</v>
      </c>
      <c r="AK1552">
        <v>0</v>
      </c>
      <c r="AL1552">
        <f t="shared" si="24"/>
        <v>268</v>
      </c>
      <c r="AM1552">
        <f>IF(OR(Table1[[#This Row],[marital_Married]]=1,Table1[[#This Row],[marital_Together]]=1),1,0)</f>
        <v>1</v>
      </c>
      <c r="AN1552" t="str">
        <f>IF(Table1[[#This Row],[Income]]&gt;=70000,"HIGH INCOME","LOW INCOME")</f>
        <v>LOW INCOME</v>
      </c>
      <c r="AO1552" s="1" t="str">
        <f>IF(Table1[[#This Row],[MNT_TOTAL]]&gt;=900,"HIGH VALUE","LOW VALUE")</f>
        <v>LOW VALUE</v>
      </c>
      <c r="AP15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2" s="1"/>
      <c r="AR1552" s="1"/>
    </row>
    <row r="1553" spans="1:44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38</v>
      </c>
      <c r="X1553">
        <v>2257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123</v>
      </c>
      <c r="AJ1553">
        <v>99</v>
      </c>
      <c r="AK1553">
        <v>0</v>
      </c>
      <c r="AL1553">
        <f t="shared" si="24"/>
        <v>147</v>
      </c>
      <c r="AM1553">
        <f>IF(OR(Table1[[#This Row],[marital_Married]]=1,Table1[[#This Row],[marital_Together]]=1),1,0)</f>
        <v>1</v>
      </c>
      <c r="AN1553" t="str">
        <f>IF(Table1[[#This Row],[Income]]&gt;=70000,"HIGH INCOME","LOW INCOME")</f>
        <v>LOW INCOME</v>
      </c>
      <c r="AO1553" s="1" t="str">
        <f>IF(Table1[[#This Row],[MNT_TOTAL]]&gt;=900,"HIGH VALUE","LOW VALUE")</f>
        <v>LOW VALUE</v>
      </c>
      <c r="AP15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3" s="1"/>
      <c r="AR1553" s="1"/>
    </row>
    <row r="1554" spans="1:44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73</v>
      </c>
      <c r="X1554">
        <v>2221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1798</v>
      </c>
      <c r="AJ1554">
        <v>1798</v>
      </c>
      <c r="AK1554">
        <v>2</v>
      </c>
      <c r="AL1554">
        <f t="shared" si="24"/>
        <v>1798</v>
      </c>
      <c r="AM1554">
        <f>IF(OR(Table1[[#This Row],[marital_Married]]=1,Table1[[#This Row],[marital_Together]]=1),1,0)</f>
        <v>1</v>
      </c>
      <c r="AN1554" t="str">
        <f>IF(Table1[[#This Row],[Income]]&gt;=70000,"HIGH INCOME","LOW INCOME")</f>
        <v>HIGH INCOME</v>
      </c>
      <c r="AO1554" s="1" t="str">
        <f>IF(Table1[[#This Row],[MNT_TOTAL]]&gt;=900,"HIGH VALUE","LOW VALUE")</f>
        <v>HIGH VALUE</v>
      </c>
      <c r="AP15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54" s="1"/>
      <c r="AR1554" s="1"/>
    </row>
    <row r="1555" spans="1:44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28</v>
      </c>
      <c r="X1555">
        <v>2532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117</v>
      </c>
      <c r="AJ1555">
        <v>97</v>
      </c>
      <c r="AK1555">
        <v>0</v>
      </c>
      <c r="AL1555">
        <f t="shared" si="24"/>
        <v>137</v>
      </c>
      <c r="AM1555">
        <f>IF(OR(Table1[[#This Row],[marital_Married]]=1,Table1[[#This Row],[marital_Together]]=1),1,0)</f>
        <v>1</v>
      </c>
      <c r="AN1555" t="str">
        <f>IF(Table1[[#This Row],[Income]]&gt;=70000,"HIGH INCOME","LOW INCOME")</f>
        <v>LOW INCOME</v>
      </c>
      <c r="AO1555" s="1" t="str">
        <f>IF(Table1[[#This Row],[MNT_TOTAL]]&gt;=900,"HIGH VALUE","LOW VALUE")</f>
        <v>LOW VALUE</v>
      </c>
      <c r="AP15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5" s="1"/>
      <c r="AR1555" s="1"/>
    </row>
    <row r="1556" spans="1:44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44</v>
      </c>
      <c r="X1556">
        <v>2681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483</v>
      </c>
      <c r="AJ1556">
        <v>459</v>
      </c>
      <c r="AK1556">
        <v>0</v>
      </c>
      <c r="AL1556">
        <f t="shared" si="24"/>
        <v>507</v>
      </c>
      <c r="AM1556">
        <f>IF(OR(Table1[[#This Row],[marital_Married]]=1,Table1[[#This Row],[marital_Together]]=1),1,0)</f>
        <v>0</v>
      </c>
      <c r="AN1556" t="str">
        <f>IF(Table1[[#This Row],[Income]]&gt;=70000,"HIGH INCOME","LOW INCOME")</f>
        <v>LOW INCOME</v>
      </c>
      <c r="AO1556" s="1" t="str">
        <f>IF(Table1[[#This Row],[MNT_TOTAL]]&gt;=900,"HIGH VALUE","LOW VALUE")</f>
        <v>LOW VALUE</v>
      </c>
      <c r="AP15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56" s="1"/>
      <c r="AR1556" s="1"/>
    </row>
    <row r="1557" spans="1:44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64</v>
      </c>
      <c r="X1557">
        <v>2316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14</v>
      </c>
      <c r="AJ1557">
        <v>13</v>
      </c>
      <c r="AK1557">
        <v>0</v>
      </c>
      <c r="AL1557">
        <f t="shared" si="24"/>
        <v>15</v>
      </c>
      <c r="AM1557">
        <f>IF(OR(Table1[[#This Row],[marital_Married]]=1,Table1[[#This Row],[marital_Together]]=1),1,0)</f>
        <v>1</v>
      </c>
      <c r="AN1557" t="str">
        <f>IF(Table1[[#This Row],[Income]]&gt;=70000,"HIGH INCOME","LOW INCOME")</f>
        <v>LOW INCOME</v>
      </c>
      <c r="AO1557" s="1" t="str">
        <f>IF(Table1[[#This Row],[MNT_TOTAL]]&gt;=900,"HIGH VALUE","LOW VALUE")</f>
        <v>LOW VALUE</v>
      </c>
      <c r="AP15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57" s="1"/>
      <c r="AR1557" s="1"/>
    </row>
    <row r="1558" spans="1:44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73</v>
      </c>
      <c r="X1558">
        <v>2359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1095</v>
      </c>
      <c r="AJ1558">
        <v>1085</v>
      </c>
      <c r="AK1558">
        <v>0</v>
      </c>
      <c r="AL1558">
        <f t="shared" si="24"/>
        <v>1105</v>
      </c>
      <c r="AM1558">
        <f>IF(OR(Table1[[#This Row],[marital_Married]]=1,Table1[[#This Row],[marital_Together]]=1),1,0)</f>
        <v>1</v>
      </c>
      <c r="AN1558" t="str">
        <f>IF(Table1[[#This Row],[Income]]&gt;=70000,"HIGH INCOME","LOW INCOME")</f>
        <v>HIGH INCOME</v>
      </c>
      <c r="AO1558" s="1" t="str">
        <f>IF(Table1[[#This Row],[MNT_TOTAL]]&gt;=900,"HIGH VALUE","LOW VALUE")</f>
        <v>HIGH VALUE</v>
      </c>
      <c r="AP15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58" s="1"/>
      <c r="AR1558" s="1"/>
    </row>
    <row r="1559" spans="1:44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70</v>
      </c>
      <c r="X1559">
        <v>2368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959</v>
      </c>
      <c r="AJ1559">
        <v>944</v>
      </c>
      <c r="AK1559">
        <v>0</v>
      </c>
      <c r="AL1559">
        <f t="shared" si="24"/>
        <v>974</v>
      </c>
      <c r="AM1559">
        <f>IF(OR(Table1[[#This Row],[marital_Married]]=1,Table1[[#This Row],[marital_Together]]=1),1,0)</f>
        <v>0</v>
      </c>
      <c r="AN1559" t="str">
        <f>IF(Table1[[#This Row],[Income]]&gt;=70000,"HIGH INCOME","LOW INCOME")</f>
        <v>HIGH INCOME</v>
      </c>
      <c r="AO1559" s="1" t="str">
        <f>IF(Table1[[#This Row],[MNT_TOTAL]]&gt;=900,"HIGH VALUE","LOW VALUE")</f>
        <v>HIGH VALUE</v>
      </c>
      <c r="AP15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59" s="1"/>
      <c r="AR1559" s="1"/>
    </row>
    <row r="1560" spans="1:44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2226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63</v>
      </c>
      <c r="AJ1560">
        <v>60</v>
      </c>
      <c r="AK1560">
        <v>0</v>
      </c>
      <c r="AL1560">
        <f t="shared" si="24"/>
        <v>66</v>
      </c>
      <c r="AM1560">
        <f>IF(OR(Table1[[#This Row],[marital_Married]]=1,Table1[[#This Row],[marital_Together]]=1),1,0)</f>
        <v>1</v>
      </c>
      <c r="AN1560" t="str">
        <f>IF(Table1[[#This Row],[Income]]&gt;=70000,"HIGH INCOME","LOW INCOME")</f>
        <v>LOW INCOME</v>
      </c>
      <c r="AO1560" s="1" t="str">
        <f>IF(Table1[[#This Row],[MNT_TOTAL]]&gt;=900,"HIGH VALUE","LOW VALUE")</f>
        <v>LOW VALUE</v>
      </c>
      <c r="AP15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0" s="1"/>
      <c r="AR1560" s="1"/>
    </row>
    <row r="1561" spans="1:44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33</v>
      </c>
      <c r="X1561">
        <v>2283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702</v>
      </c>
      <c r="AJ1561">
        <v>626</v>
      </c>
      <c r="AK1561">
        <v>0</v>
      </c>
      <c r="AL1561">
        <f t="shared" si="24"/>
        <v>778</v>
      </c>
      <c r="AM1561">
        <f>IF(OR(Table1[[#This Row],[marital_Married]]=1,Table1[[#This Row],[marital_Together]]=1),1,0)</f>
        <v>0</v>
      </c>
      <c r="AN1561" t="str">
        <f>IF(Table1[[#This Row],[Income]]&gt;=70000,"HIGH INCOME","LOW INCOME")</f>
        <v>HIGH INCOME</v>
      </c>
      <c r="AO1561" s="1" t="str">
        <f>IF(Table1[[#This Row],[MNT_TOTAL]]&gt;=900,"HIGH VALUE","LOW VALUE")</f>
        <v>LOW VALUE</v>
      </c>
      <c r="AP15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61" s="1"/>
      <c r="AR1561" s="1"/>
    </row>
    <row r="1562" spans="1:44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47</v>
      </c>
      <c r="X1562">
        <v>2200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29</v>
      </c>
      <c r="AJ1562">
        <v>9</v>
      </c>
      <c r="AK1562">
        <v>1</v>
      </c>
      <c r="AL1562">
        <f t="shared" si="24"/>
        <v>49</v>
      </c>
      <c r="AM1562">
        <f>IF(OR(Table1[[#This Row],[marital_Married]]=1,Table1[[#This Row],[marital_Together]]=1),1,0)</f>
        <v>0</v>
      </c>
      <c r="AN1562" t="str">
        <f>IF(Table1[[#This Row],[Income]]&gt;=70000,"HIGH INCOME","LOW INCOME")</f>
        <v>LOW INCOME</v>
      </c>
      <c r="AO1562" s="1" t="str">
        <f>IF(Table1[[#This Row],[MNT_TOTAL]]&gt;=900,"HIGH VALUE","LOW VALUE")</f>
        <v>LOW VALUE</v>
      </c>
      <c r="AP15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62" s="1"/>
      <c r="AR1562" s="1"/>
    </row>
    <row r="1563" spans="1:44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68</v>
      </c>
      <c r="X1563">
        <v>2838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156</v>
      </c>
      <c r="AJ1563">
        <v>143</v>
      </c>
      <c r="AK1563">
        <v>0</v>
      </c>
      <c r="AL1563">
        <f t="shared" si="24"/>
        <v>169</v>
      </c>
      <c r="AM1563">
        <f>IF(OR(Table1[[#This Row],[marital_Married]]=1,Table1[[#This Row],[marital_Together]]=1),1,0)</f>
        <v>1</v>
      </c>
      <c r="AN1563" t="str">
        <f>IF(Table1[[#This Row],[Income]]&gt;=70000,"HIGH INCOME","LOW INCOME")</f>
        <v>LOW INCOME</v>
      </c>
      <c r="AO1563" s="1" t="str">
        <f>IF(Table1[[#This Row],[MNT_TOTAL]]&gt;=900,"HIGH VALUE","LOW VALUE")</f>
        <v>LOW VALUE</v>
      </c>
      <c r="AP15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3" s="1"/>
      <c r="AR1563" s="1"/>
    </row>
    <row r="1564" spans="1:44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55</v>
      </c>
      <c r="X1564">
        <v>2161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256</v>
      </c>
      <c r="AJ1564">
        <v>213</v>
      </c>
      <c r="AK1564">
        <v>0</v>
      </c>
      <c r="AL1564">
        <f t="shared" si="24"/>
        <v>299</v>
      </c>
      <c r="AM1564">
        <f>IF(OR(Table1[[#This Row],[marital_Married]]=1,Table1[[#This Row],[marital_Together]]=1),1,0)</f>
        <v>1</v>
      </c>
      <c r="AN1564" t="str">
        <f>IF(Table1[[#This Row],[Income]]&gt;=70000,"HIGH INCOME","LOW INCOME")</f>
        <v>LOW INCOME</v>
      </c>
      <c r="AO1564" s="1" t="str">
        <f>IF(Table1[[#This Row],[MNT_TOTAL]]&gt;=900,"HIGH VALUE","LOW VALUE")</f>
        <v>LOW VALUE</v>
      </c>
      <c r="AP15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4" s="1"/>
      <c r="AR1564" s="1"/>
    </row>
    <row r="1565" spans="1:44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40</v>
      </c>
      <c r="X1565">
        <v>2604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219</v>
      </c>
      <c r="AJ1565">
        <v>217</v>
      </c>
      <c r="AK1565">
        <v>0</v>
      </c>
      <c r="AL1565">
        <f t="shared" si="24"/>
        <v>221</v>
      </c>
      <c r="AM1565">
        <f>IF(OR(Table1[[#This Row],[marital_Married]]=1,Table1[[#This Row],[marital_Together]]=1),1,0)</f>
        <v>1</v>
      </c>
      <c r="AN1565" t="str">
        <f>IF(Table1[[#This Row],[Income]]&gt;=70000,"HIGH INCOME","LOW INCOME")</f>
        <v>LOW INCOME</v>
      </c>
      <c r="AO1565" s="1" t="str">
        <f>IF(Table1[[#This Row],[MNT_TOTAL]]&gt;=900,"HIGH VALUE","LOW VALUE")</f>
        <v>LOW VALUE</v>
      </c>
      <c r="AP15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5" s="1"/>
      <c r="AR1565" s="1"/>
    </row>
    <row r="1566" spans="1:44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33</v>
      </c>
      <c r="X1566">
        <v>2346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1634</v>
      </c>
      <c r="AJ1566">
        <v>1586</v>
      </c>
      <c r="AK1566">
        <v>1</v>
      </c>
      <c r="AL1566">
        <f t="shared" si="24"/>
        <v>1682</v>
      </c>
      <c r="AM1566">
        <f>IF(OR(Table1[[#This Row],[marital_Married]]=1,Table1[[#This Row],[marital_Together]]=1),1,0)</f>
        <v>1</v>
      </c>
      <c r="AN1566" t="str">
        <f>IF(Table1[[#This Row],[Income]]&gt;=70000,"HIGH INCOME","LOW INCOME")</f>
        <v>HIGH INCOME</v>
      </c>
      <c r="AO1566" s="1" t="str">
        <f>IF(Table1[[#This Row],[MNT_TOTAL]]&gt;=900,"HIGH VALUE","LOW VALUE")</f>
        <v>HIGH VALUE</v>
      </c>
      <c r="AP15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66" s="1"/>
      <c r="AR1566" s="1"/>
    </row>
    <row r="1567" spans="1:44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58</v>
      </c>
      <c r="X1567">
        <v>2729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151</v>
      </c>
      <c r="AJ1567">
        <v>147</v>
      </c>
      <c r="AK1567">
        <v>0</v>
      </c>
      <c r="AL1567">
        <f t="shared" si="24"/>
        <v>155</v>
      </c>
      <c r="AM1567">
        <f>IF(OR(Table1[[#This Row],[marital_Married]]=1,Table1[[#This Row],[marital_Together]]=1),1,0)</f>
        <v>1</v>
      </c>
      <c r="AN1567" t="str">
        <f>IF(Table1[[#This Row],[Income]]&gt;=70000,"HIGH INCOME","LOW INCOME")</f>
        <v>LOW INCOME</v>
      </c>
      <c r="AO1567" s="1" t="str">
        <f>IF(Table1[[#This Row],[MNT_TOTAL]]&gt;=900,"HIGH VALUE","LOW VALUE")</f>
        <v>LOW VALUE</v>
      </c>
      <c r="AP15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7" s="1"/>
      <c r="AR1567" s="1"/>
    </row>
    <row r="1568" spans="1:44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65</v>
      </c>
      <c r="X1568">
        <v>2659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851</v>
      </c>
      <c r="AJ1568">
        <v>810</v>
      </c>
      <c r="AK1568">
        <v>0</v>
      </c>
      <c r="AL1568">
        <f t="shared" si="24"/>
        <v>892</v>
      </c>
      <c r="AM1568">
        <f>IF(OR(Table1[[#This Row],[marital_Married]]=1,Table1[[#This Row],[marital_Together]]=1),1,0)</f>
        <v>1</v>
      </c>
      <c r="AN1568" t="str">
        <f>IF(Table1[[#This Row],[Income]]&gt;=70000,"HIGH INCOME","LOW INCOME")</f>
        <v>HIGH INCOME</v>
      </c>
      <c r="AO1568" s="1" t="str">
        <f>IF(Table1[[#This Row],[MNT_TOTAL]]&gt;=900,"HIGH VALUE","LOW VALUE")</f>
        <v>LOW VALUE</v>
      </c>
      <c r="AP15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68" s="1"/>
      <c r="AR1568" s="1"/>
    </row>
    <row r="1569" spans="1:44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32</v>
      </c>
      <c r="X1569">
        <v>2826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31</v>
      </c>
      <c r="AJ1569">
        <v>4</v>
      </c>
      <c r="AK1569">
        <v>1</v>
      </c>
      <c r="AL1569">
        <f t="shared" si="24"/>
        <v>58</v>
      </c>
      <c r="AM1569">
        <f>IF(OR(Table1[[#This Row],[marital_Married]]=1,Table1[[#This Row],[marital_Together]]=1),1,0)</f>
        <v>1</v>
      </c>
      <c r="AN1569" t="str">
        <f>IF(Table1[[#This Row],[Income]]&gt;=70000,"HIGH INCOME","LOW INCOME")</f>
        <v>LOW INCOME</v>
      </c>
      <c r="AO1569" s="1" t="str">
        <f>IF(Table1[[#This Row],[MNT_TOTAL]]&gt;=900,"HIGH VALUE","LOW VALUE")</f>
        <v>LOW VALUE</v>
      </c>
      <c r="AP15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69" s="1"/>
      <c r="AR1569" s="1"/>
    </row>
    <row r="1570" spans="1:44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55</v>
      </c>
      <c r="X1570">
        <v>2466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297</v>
      </c>
      <c r="AJ1570">
        <v>283</v>
      </c>
      <c r="AK1570">
        <v>0</v>
      </c>
      <c r="AL1570">
        <f t="shared" si="24"/>
        <v>311</v>
      </c>
      <c r="AM1570">
        <f>IF(OR(Table1[[#This Row],[marital_Married]]=1,Table1[[#This Row],[marital_Together]]=1),1,0)</f>
        <v>1</v>
      </c>
      <c r="AN1570" t="str">
        <f>IF(Table1[[#This Row],[Income]]&gt;=70000,"HIGH INCOME","LOW INCOME")</f>
        <v>LOW INCOME</v>
      </c>
      <c r="AO1570" s="1" t="str">
        <f>IF(Table1[[#This Row],[MNT_TOTAL]]&gt;=900,"HIGH VALUE","LOW VALUE")</f>
        <v>LOW VALUE</v>
      </c>
      <c r="AP15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70" s="1"/>
      <c r="AR1570" s="1"/>
    </row>
    <row r="1571" spans="1:44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53</v>
      </c>
      <c r="X1571">
        <v>2244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88</v>
      </c>
      <c r="AJ1571">
        <v>81</v>
      </c>
      <c r="AK1571">
        <v>0</v>
      </c>
      <c r="AL1571">
        <f t="shared" si="24"/>
        <v>95</v>
      </c>
      <c r="AM1571">
        <f>IF(OR(Table1[[#This Row],[marital_Married]]=1,Table1[[#This Row],[marital_Together]]=1),1,0)</f>
        <v>0</v>
      </c>
      <c r="AN1571" t="str">
        <f>IF(Table1[[#This Row],[Income]]&gt;=70000,"HIGH INCOME","LOW INCOME")</f>
        <v>LOW INCOME</v>
      </c>
      <c r="AO1571" s="1" t="str">
        <f>IF(Table1[[#This Row],[MNT_TOTAL]]&gt;=900,"HIGH VALUE","LOW VALUE")</f>
        <v>LOW VALUE</v>
      </c>
      <c r="AP15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71" s="1"/>
      <c r="AR1571" s="1"/>
    </row>
    <row r="1572" spans="1:44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47</v>
      </c>
      <c r="X1572">
        <v>2778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382</v>
      </c>
      <c r="AJ1572">
        <v>340</v>
      </c>
      <c r="AK1572">
        <v>0</v>
      </c>
      <c r="AL1572">
        <f t="shared" si="24"/>
        <v>424</v>
      </c>
      <c r="AM1572">
        <f>IF(OR(Table1[[#This Row],[marital_Married]]=1,Table1[[#This Row],[marital_Together]]=1),1,0)</f>
        <v>0</v>
      </c>
      <c r="AN1572" t="str">
        <f>IF(Table1[[#This Row],[Income]]&gt;=70000,"HIGH INCOME","LOW INCOME")</f>
        <v>LOW INCOME</v>
      </c>
      <c r="AO1572" s="1" t="str">
        <f>IF(Table1[[#This Row],[MNT_TOTAL]]&gt;=900,"HIGH VALUE","LOW VALUE")</f>
        <v>LOW VALUE</v>
      </c>
      <c r="AP15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72" s="1"/>
      <c r="AR1572" s="1"/>
    </row>
    <row r="1573" spans="1:44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60</v>
      </c>
      <c r="X1573">
        <v>2293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41</v>
      </c>
      <c r="AJ1573">
        <v>35</v>
      </c>
      <c r="AK1573">
        <v>0</v>
      </c>
      <c r="AL1573">
        <f t="shared" si="24"/>
        <v>47</v>
      </c>
      <c r="AM1573">
        <f>IF(OR(Table1[[#This Row],[marital_Married]]=1,Table1[[#This Row],[marital_Together]]=1),1,0)</f>
        <v>1</v>
      </c>
      <c r="AN1573" t="str">
        <f>IF(Table1[[#This Row],[Income]]&gt;=70000,"HIGH INCOME","LOW INCOME")</f>
        <v>LOW INCOME</v>
      </c>
      <c r="AO1573" s="1" t="str">
        <f>IF(Table1[[#This Row],[MNT_TOTAL]]&gt;=900,"HIGH VALUE","LOW VALUE")</f>
        <v>LOW VALUE</v>
      </c>
      <c r="AP15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73" s="1"/>
      <c r="AR1573" s="1"/>
    </row>
    <row r="1574" spans="1:44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36</v>
      </c>
      <c r="X1574">
        <v>2416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292</v>
      </c>
      <c r="AJ1574">
        <v>245</v>
      </c>
      <c r="AK1574">
        <v>1</v>
      </c>
      <c r="AL1574">
        <f t="shared" si="24"/>
        <v>339</v>
      </c>
      <c r="AM1574">
        <f>IF(OR(Table1[[#This Row],[marital_Married]]=1,Table1[[#This Row],[marital_Together]]=1),1,0)</f>
        <v>0</v>
      </c>
      <c r="AN1574" t="str">
        <f>IF(Table1[[#This Row],[Income]]&gt;=70000,"HIGH INCOME","LOW INCOME")</f>
        <v>LOW INCOME</v>
      </c>
      <c r="AO1574" s="1" t="str">
        <f>IF(Table1[[#This Row],[MNT_TOTAL]]&gt;=900,"HIGH VALUE","LOW VALUE")</f>
        <v>LOW VALUE</v>
      </c>
      <c r="AP15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74" s="1"/>
      <c r="AR1574" s="1"/>
    </row>
    <row r="1575" spans="1:44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49</v>
      </c>
      <c r="X1575">
        <v>2798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1375</v>
      </c>
      <c r="AJ1575">
        <v>1340</v>
      </c>
      <c r="AK1575">
        <v>0</v>
      </c>
      <c r="AL1575">
        <f t="shared" si="24"/>
        <v>1410</v>
      </c>
      <c r="AM1575">
        <f>IF(OR(Table1[[#This Row],[marital_Married]]=1,Table1[[#This Row],[marital_Together]]=1),1,0)</f>
        <v>1</v>
      </c>
      <c r="AN1575" t="str">
        <f>IF(Table1[[#This Row],[Income]]&gt;=70000,"HIGH INCOME","LOW INCOME")</f>
        <v>HIGH INCOME</v>
      </c>
      <c r="AO1575" s="1" t="str">
        <f>IF(Table1[[#This Row],[MNT_TOTAL]]&gt;=900,"HIGH VALUE","LOW VALUE")</f>
        <v>HIGH VALUE</v>
      </c>
      <c r="AP15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75" s="1"/>
      <c r="AR1575" s="1"/>
    </row>
    <row r="1576" spans="1:44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45</v>
      </c>
      <c r="X1576">
        <v>2224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30</v>
      </c>
      <c r="AJ1576">
        <v>25</v>
      </c>
      <c r="AK1576">
        <v>0</v>
      </c>
      <c r="AL1576">
        <f t="shared" si="24"/>
        <v>35</v>
      </c>
      <c r="AM1576">
        <f>IF(OR(Table1[[#This Row],[marital_Married]]=1,Table1[[#This Row],[marital_Together]]=1),1,0)</f>
        <v>1</v>
      </c>
      <c r="AN1576" t="str">
        <f>IF(Table1[[#This Row],[Income]]&gt;=70000,"HIGH INCOME","LOW INCOME")</f>
        <v>LOW INCOME</v>
      </c>
      <c r="AO1576" s="1" t="str">
        <f>IF(Table1[[#This Row],[MNT_TOTAL]]&gt;=900,"HIGH VALUE","LOW VALUE")</f>
        <v>LOW VALUE</v>
      </c>
      <c r="AP15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76" s="1"/>
      <c r="AR1576" s="1"/>
    </row>
    <row r="1577" spans="1:44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55</v>
      </c>
      <c r="X1577">
        <v>2526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489</v>
      </c>
      <c r="AJ1577">
        <v>416</v>
      </c>
      <c r="AK1577">
        <v>0</v>
      </c>
      <c r="AL1577">
        <f t="shared" si="24"/>
        <v>562</v>
      </c>
      <c r="AM1577">
        <f>IF(OR(Table1[[#This Row],[marital_Married]]=1,Table1[[#This Row],[marital_Together]]=1),1,0)</f>
        <v>1</v>
      </c>
      <c r="AN1577" t="str">
        <f>IF(Table1[[#This Row],[Income]]&gt;=70000,"HIGH INCOME","LOW INCOME")</f>
        <v>LOW INCOME</v>
      </c>
      <c r="AO1577" s="1" t="str">
        <f>IF(Table1[[#This Row],[MNT_TOTAL]]&gt;=900,"HIGH VALUE","LOW VALUE")</f>
        <v>LOW VALUE</v>
      </c>
      <c r="AP15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77" s="1"/>
      <c r="AR1577" s="1"/>
    </row>
    <row r="1578" spans="1:44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64</v>
      </c>
      <c r="X1578">
        <v>2800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2244</v>
      </c>
      <c r="AJ1578">
        <v>2136</v>
      </c>
      <c r="AK1578">
        <v>1</v>
      </c>
      <c r="AL1578">
        <f t="shared" si="24"/>
        <v>2352</v>
      </c>
      <c r="AM1578">
        <f>IF(OR(Table1[[#This Row],[marital_Married]]=1,Table1[[#This Row],[marital_Together]]=1),1,0)</f>
        <v>1</v>
      </c>
      <c r="AN1578" t="str">
        <f>IF(Table1[[#This Row],[Income]]&gt;=70000,"HIGH INCOME","LOW INCOME")</f>
        <v>HIGH INCOME</v>
      </c>
      <c r="AO1578" s="1" t="str">
        <f>IF(Table1[[#This Row],[MNT_TOTAL]]&gt;=900,"HIGH VALUE","LOW VALUE")</f>
        <v>HIGH VALUE</v>
      </c>
      <c r="AP15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78" s="1"/>
      <c r="AR1578" s="1"/>
    </row>
    <row r="1579" spans="1:44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65</v>
      </c>
      <c r="X1579">
        <v>2552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1271</v>
      </c>
      <c r="AJ1579">
        <v>1208</v>
      </c>
      <c r="AK1579">
        <v>1</v>
      </c>
      <c r="AL1579">
        <f t="shared" si="24"/>
        <v>1334</v>
      </c>
      <c r="AM1579">
        <f>IF(OR(Table1[[#This Row],[marital_Married]]=1,Table1[[#This Row],[marital_Together]]=1),1,0)</f>
        <v>0</v>
      </c>
      <c r="AN1579" t="str">
        <f>IF(Table1[[#This Row],[Income]]&gt;=70000,"HIGH INCOME","LOW INCOME")</f>
        <v>HIGH INCOME</v>
      </c>
      <c r="AO1579" s="1" t="str">
        <f>IF(Table1[[#This Row],[MNT_TOTAL]]&gt;=900,"HIGH VALUE","LOW VALUE")</f>
        <v>HIGH VALUE</v>
      </c>
      <c r="AP15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579" s="1"/>
      <c r="AR1579" s="1"/>
    </row>
    <row r="1580" spans="1:44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60</v>
      </c>
      <c r="X1580">
        <v>2462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30</v>
      </c>
      <c r="AJ1580">
        <v>28</v>
      </c>
      <c r="AK1580">
        <v>0</v>
      </c>
      <c r="AL1580">
        <f t="shared" si="24"/>
        <v>32</v>
      </c>
      <c r="AM1580">
        <f>IF(OR(Table1[[#This Row],[marital_Married]]=1,Table1[[#This Row],[marital_Together]]=1),1,0)</f>
        <v>1</v>
      </c>
      <c r="AN1580" t="str">
        <f>IF(Table1[[#This Row],[Income]]&gt;=70000,"HIGH INCOME","LOW INCOME")</f>
        <v>LOW INCOME</v>
      </c>
      <c r="AO1580" s="1" t="str">
        <f>IF(Table1[[#This Row],[MNT_TOTAL]]&gt;=900,"HIGH VALUE","LOW VALUE")</f>
        <v>LOW VALUE</v>
      </c>
      <c r="AP15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0" s="1"/>
      <c r="AR1580" s="1"/>
    </row>
    <row r="1581" spans="1:44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59</v>
      </c>
      <c r="X1581">
        <v>2278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38</v>
      </c>
      <c r="AJ1581">
        <v>35</v>
      </c>
      <c r="AK1581">
        <v>0</v>
      </c>
      <c r="AL1581">
        <f t="shared" si="24"/>
        <v>41</v>
      </c>
      <c r="AM1581">
        <f>IF(OR(Table1[[#This Row],[marital_Married]]=1,Table1[[#This Row],[marital_Together]]=1),1,0)</f>
        <v>1</v>
      </c>
      <c r="AN1581" t="str">
        <f>IF(Table1[[#This Row],[Income]]&gt;=70000,"HIGH INCOME","LOW INCOME")</f>
        <v>LOW INCOME</v>
      </c>
      <c r="AO1581" s="1" t="str">
        <f>IF(Table1[[#This Row],[MNT_TOTAL]]&gt;=900,"HIGH VALUE","LOW VALUE")</f>
        <v>LOW VALUE</v>
      </c>
      <c r="AP15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1" s="1"/>
      <c r="AR1581" s="1"/>
    </row>
    <row r="1582" spans="1:44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57</v>
      </c>
      <c r="X1582">
        <v>2496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39</v>
      </c>
      <c r="AJ1582">
        <v>39</v>
      </c>
      <c r="AK1582">
        <v>0</v>
      </c>
      <c r="AL1582">
        <f t="shared" si="24"/>
        <v>39</v>
      </c>
      <c r="AM1582">
        <f>IF(OR(Table1[[#This Row],[marital_Married]]=1,Table1[[#This Row],[marital_Together]]=1),1,0)</f>
        <v>1</v>
      </c>
      <c r="AN1582" t="str">
        <f>IF(Table1[[#This Row],[Income]]&gt;=70000,"HIGH INCOME","LOW INCOME")</f>
        <v>LOW INCOME</v>
      </c>
      <c r="AO1582" s="1" t="str">
        <f>IF(Table1[[#This Row],[MNT_TOTAL]]&gt;=900,"HIGH VALUE","LOW VALUE")</f>
        <v>LOW VALUE</v>
      </c>
      <c r="AP15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2" s="1"/>
      <c r="AR1582" s="1"/>
    </row>
    <row r="1583" spans="1:44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43</v>
      </c>
      <c r="X1583">
        <v>2688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1113</v>
      </c>
      <c r="AJ1583">
        <v>1085</v>
      </c>
      <c r="AK1583">
        <v>0</v>
      </c>
      <c r="AL1583">
        <f t="shared" si="24"/>
        <v>1141</v>
      </c>
      <c r="AM1583">
        <f>IF(OR(Table1[[#This Row],[marital_Married]]=1,Table1[[#This Row],[marital_Together]]=1),1,0)</f>
        <v>1</v>
      </c>
      <c r="AN1583" t="str">
        <f>IF(Table1[[#This Row],[Income]]&gt;=70000,"HIGH INCOME","LOW INCOME")</f>
        <v>HIGH INCOME</v>
      </c>
      <c r="AO1583" s="1" t="str">
        <f>IF(Table1[[#This Row],[MNT_TOTAL]]&gt;=900,"HIGH VALUE","LOW VALUE")</f>
        <v>HIGH VALUE</v>
      </c>
      <c r="AP15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583" s="1"/>
      <c r="AR1583" s="1"/>
    </row>
    <row r="1584" spans="1:44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30</v>
      </c>
      <c r="X1584">
        <v>2615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670</v>
      </c>
      <c r="AJ1584">
        <v>630</v>
      </c>
      <c r="AK1584">
        <v>1</v>
      </c>
      <c r="AL1584">
        <f t="shared" si="24"/>
        <v>710</v>
      </c>
      <c r="AM1584">
        <f>IF(OR(Table1[[#This Row],[marital_Married]]=1,Table1[[#This Row],[marital_Together]]=1),1,0)</f>
        <v>0</v>
      </c>
      <c r="AN1584" t="str">
        <f>IF(Table1[[#This Row],[Income]]&gt;=70000,"HIGH INCOME","LOW INCOME")</f>
        <v>LOW INCOME</v>
      </c>
      <c r="AO1584" s="1" t="str">
        <f>IF(Table1[[#This Row],[MNT_TOTAL]]&gt;=900,"HIGH VALUE","LOW VALUE")</f>
        <v>LOW VALUE</v>
      </c>
      <c r="AP15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84" s="1"/>
      <c r="AR1584" s="1"/>
    </row>
    <row r="1585" spans="1:44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47</v>
      </c>
      <c r="X1585">
        <v>2271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390</v>
      </c>
      <c r="AJ1585">
        <v>379</v>
      </c>
      <c r="AK1585">
        <v>0</v>
      </c>
      <c r="AL1585">
        <f t="shared" si="24"/>
        <v>401</v>
      </c>
      <c r="AM1585">
        <f>IF(OR(Table1[[#This Row],[marital_Married]]=1,Table1[[#This Row],[marital_Together]]=1),1,0)</f>
        <v>1</v>
      </c>
      <c r="AN1585" t="str">
        <f>IF(Table1[[#This Row],[Income]]&gt;=70000,"HIGH INCOME","LOW INCOME")</f>
        <v>LOW INCOME</v>
      </c>
      <c r="AO1585" s="1" t="str">
        <f>IF(Table1[[#This Row],[MNT_TOTAL]]&gt;=900,"HIGH VALUE","LOW VALUE")</f>
        <v>LOW VALUE</v>
      </c>
      <c r="AP15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5" s="1"/>
      <c r="AR1585" s="1"/>
    </row>
    <row r="1586" spans="1:44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56</v>
      </c>
      <c r="X1586">
        <v>2238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497</v>
      </c>
      <c r="AJ1586">
        <v>488</v>
      </c>
      <c r="AK1586">
        <v>0</v>
      </c>
      <c r="AL1586">
        <f t="shared" si="24"/>
        <v>506</v>
      </c>
      <c r="AM1586">
        <f>IF(OR(Table1[[#This Row],[marital_Married]]=1,Table1[[#This Row],[marital_Together]]=1),1,0)</f>
        <v>1</v>
      </c>
      <c r="AN1586" t="str">
        <f>IF(Table1[[#This Row],[Income]]&gt;=70000,"HIGH INCOME","LOW INCOME")</f>
        <v>LOW INCOME</v>
      </c>
      <c r="AO1586" s="1" t="str">
        <f>IF(Table1[[#This Row],[MNT_TOTAL]]&gt;=900,"HIGH VALUE","LOW VALUE")</f>
        <v>LOW VALUE</v>
      </c>
      <c r="AP15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6" s="1"/>
      <c r="AR1586" s="1"/>
    </row>
    <row r="1587" spans="1:44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32</v>
      </c>
      <c r="X1587">
        <v>2847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1500</v>
      </c>
      <c r="AJ1587">
        <v>1462</v>
      </c>
      <c r="AK1587">
        <v>0</v>
      </c>
      <c r="AL1587">
        <f t="shared" si="24"/>
        <v>1538</v>
      </c>
      <c r="AM1587">
        <f>IF(OR(Table1[[#This Row],[marital_Married]]=1,Table1[[#This Row],[marital_Together]]=1),1,0)</f>
        <v>0</v>
      </c>
      <c r="AN1587" t="str">
        <f>IF(Table1[[#This Row],[Income]]&gt;=70000,"HIGH INCOME","LOW INCOME")</f>
        <v>LOW INCOME</v>
      </c>
      <c r="AO1587" s="1" t="str">
        <f>IF(Table1[[#This Row],[MNT_TOTAL]]&gt;=900,"HIGH VALUE","LOW VALUE")</f>
        <v>HIGH VALUE</v>
      </c>
      <c r="AP15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87" s="1"/>
      <c r="AR1587" s="1"/>
    </row>
    <row r="1588" spans="1:44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42</v>
      </c>
      <c r="X1588">
        <v>2731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44</v>
      </c>
      <c r="AJ1588">
        <v>31</v>
      </c>
      <c r="AK1588">
        <v>0</v>
      </c>
      <c r="AL1588">
        <f t="shared" si="24"/>
        <v>57</v>
      </c>
      <c r="AM1588">
        <f>IF(OR(Table1[[#This Row],[marital_Married]]=1,Table1[[#This Row],[marital_Together]]=1),1,0)</f>
        <v>1</v>
      </c>
      <c r="AN1588" t="str">
        <f>IF(Table1[[#This Row],[Income]]&gt;=70000,"HIGH INCOME","LOW INCOME")</f>
        <v>LOW INCOME</v>
      </c>
      <c r="AO1588" s="1" t="str">
        <f>IF(Table1[[#This Row],[MNT_TOTAL]]&gt;=900,"HIGH VALUE","LOW VALUE")</f>
        <v>LOW VALUE</v>
      </c>
      <c r="AP15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88" s="1"/>
      <c r="AR1588" s="1"/>
    </row>
    <row r="1589" spans="1:44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30</v>
      </c>
      <c r="X1589">
        <v>2475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1645</v>
      </c>
      <c r="AJ1589">
        <v>1568</v>
      </c>
      <c r="AK1589">
        <v>1</v>
      </c>
      <c r="AL1589">
        <f t="shared" si="24"/>
        <v>1722</v>
      </c>
      <c r="AM1589">
        <f>IF(OR(Table1[[#This Row],[marital_Married]]=1,Table1[[#This Row],[marital_Together]]=1),1,0)</f>
        <v>0</v>
      </c>
      <c r="AN1589" t="str">
        <f>IF(Table1[[#This Row],[Income]]&gt;=70000,"HIGH INCOME","LOW INCOME")</f>
        <v>LOW INCOME</v>
      </c>
      <c r="AO1589" s="1" t="str">
        <f>IF(Table1[[#This Row],[MNT_TOTAL]]&gt;=900,"HIGH VALUE","LOW VALUE")</f>
        <v>HIGH VALUE</v>
      </c>
      <c r="AP15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89" s="1"/>
      <c r="AR1589" s="1"/>
    </row>
    <row r="1590" spans="1:44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45</v>
      </c>
      <c r="X1590">
        <v>2483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260</v>
      </c>
      <c r="AJ1590">
        <v>250</v>
      </c>
      <c r="AK1590">
        <v>0</v>
      </c>
      <c r="AL1590">
        <f t="shared" si="24"/>
        <v>270</v>
      </c>
      <c r="AM1590">
        <f>IF(OR(Table1[[#This Row],[marital_Married]]=1,Table1[[#This Row],[marital_Together]]=1),1,0)</f>
        <v>0</v>
      </c>
      <c r="AN1590" t="str">
        <f>IF(Table1[[#This Row],[Income]]&gt;=70000,"HIGH INCOME","LOW INCOME")</f>
        <v>LOW INCOME</v>
      </c>
      <c r="AO1590" s="1" t="str">
        <f>IF(Table1[[#This Row],[MNT_TOTAL]]&gt;=900,"HIGH VALUE","LOW VALUE")</f>
        <v>LOW VALUE</v>
      </c>
      <c r="AP15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90" s="1"/>
      <c r="AR1590" s="1"/>
    </row>
    <row r="1591" spans="1:44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43</v>
      </c>
      <c r="X1591">
        <v>2341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24</v>
      </c>
      <c r="AJ1591">
        <v>17</v>
      </c>
      <c r="AK1591">
        <v>0</v>
      </c>
      <c r="AL1591">
        <f t="shared" si="24"/>
        <v>31</v>
      </c>
      <c r="AM1591">
        <f>IF(OR(Table1[[#This Row],[marital_Married]]=1,Table1[[#This Row],[marital_Together]]=1),1,0)</f>
        <v>1</v>
      </c>
      <c r="AN1591" t="str">
        <f>IF(Table1[[#This Row],[Income]]&gt;=70000,"HIGH INCOME","LOW INCOME")</f>
        <v>LOW INCOME</v>
      </c>
      <c r="AO1591" s="1" t="str">
        <f>IF(Table1[[#This Row],[MNT_TOTAL]]&gt;=900,"HIGH VALUE","LOW VALUE")</f>
        <v>LOW VALUE</v>
      </c>
      <c r="AP15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1" s="1"/>
      <c r="AR1591" s="1"/>
    </row>
    <row r="1592" spans="1:44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36</v>
      </c>
      <c r="X1592">
        <v>2426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806</v>
      </c>
      <c r="AJ1592">
        <v>730</v>
      </c>
      <c r="AK1592">
        <v>0</v>
      </c>
      <c r="AL1592">
        <f t="shared" si="24"/>
        <v>882</v>
      </c>
      <c r="AM1592">
        <f>IF(OR(Table1[[#This Row],[marital_Married]]=1,Table1[[#This Row],[marital_Together]]=1),1,0)</f>
        <v>1</v>
      </c>
      <c r="AN1592" t="str">
        <f>IF(Table1[[#This Row],[Income]]&gt;=70000,"HIGH INCOME","LOW INCOME")</f>
        <v>LOW INCOME</v>
      </c>
      <c r="AO1592" s="1" t="str">
        <f>IF(Table1[[#This Row],[MNT_TOTAL]]&gt;=900,"HIGH VALUE","LOW VALUE")</f>
        <v>LOW VALUE</v>
      </c>
      <c r="AP15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2" s="1"/>
      <c r="AR1592" s="1"/>
    </row>
    <row r="1593" spans="1:44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37</v>
      </c>
      <c r="X1593">
        <v>2404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14</v>
      </c>
      <c r="AJ1593">
        <v>12</v>
      </c>
      <c r="AK1593">
        <v>0</v>
      </c>
      <c r="AL1593">
        <f t="shared" si="24"/>
        <v>16</v>
      </c>
      <c r="AM1593">
        <f>IF(OR(Table1[[#This Row],[marital_Married]]=1,Table1[[#This Row],[marital_Together]]=1),1,0)</f>
        <v>1</v>
      </c>
      <c r="AN1593" t="str">
        <f>IF(Table1[[#This Row],[Income]]&gt;=70000,"HIGH INCOME","LOW INCOME")</f>
        <v>LOW INCOME</v>
      </c>
      <c r="AO1593" s="1" t="str">
        <f>IF(Table1[[#This Row],[MNT_TOTAL]]&gt;=900,"HIGH VALUE","LOW VALUE")</f>
        <v>LOW VALUE</v>
      </c>
      <c r="AP15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3" s="1"/>
      <c r="AR1593" s="1"/>
    </row>
    <row r="1594" spans="1:44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33</v>
      </c>
      <c r="X1594">
        <v>2201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294</v>
      </c>
      <c r="AJ1594">
        <v>277</v>
      </c>
      <c r="AK1594">
        <v>0</v>
      </c>
      <c r="AL1594">
        <f t="shared" si="24"/>
        <v>311</v>
      </c>
      <c r="AM1594">
        <f>IF(OR(Table1[[#This Row],[marital_Married]]=1,Table1[[#This Row],[marital_Together]]=1),1,0)</f>
        <v>0</v>
      </c>
      <c r="AN1594" t="str">
        <f>IF(Table1[[#This Row],[Income]]&gt;=70000,"HIGH INCOME","LOW INCOME")</f>
        <v>LOW INCOME</v>
      </c>
      <c r="AO1594" s="1" t="str">
        <f>IF(Table1[[#This Row],[MNT_TOTAL]]&gt;=900,"HIGH VALUE","LOW VALUE")</f>
        <v>LOW VALUE</v>
      </c>
      <c r="AP15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94" s="1"/>
      <c r="AR1594" s="1"/>
    </row>
    <row r="1595" spans="1:44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55</v>
      </c>
      <c r="X1595">
        <v>2312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221</v>
      </c>
      <c r="AJ1595">
        <v>215</v>
      </c>
      <c r="AK1595">
        <v>0</v>
      </c>
      <c r="AL1595">
        <f t="shared" si="24"/>
        <v>227</v>
      </c>
      <c r="AM1595">
        <f>IF(OR(Table1[[#This Row],[marital_Married]]=1,Table1[[#This Row],[marital_Together]]=1),1,0)</f>
        <v>1</v>
      </c>
      <c r="AN1595" t="str">
        <f>IF(Table1[[#This Row],[Income]]&gt;=70000,"HIGH INCOME","LOW INCOME")</f>
        <v>LOW INCOME</v>
      </c>
      <c r="AO1595" s="1" t="str">
        <f>IF(Table1[[#This Row],[MNT_TOTAL]]&gt;=900,"HIGH VALUE","LOW VALUE")</f>
        <v>LOW VALUE</v>
      </c>
      <c r="AP15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5" s="1"/>
      <c r="AR1595" s="1"/>
    </row>
    <row r="1596" spans="1:44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64</v>
      </c>
      <c r="X1596">
        <v>2757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953</v>
      </c>
      <c r="AJ1596">
        <v>754</v>
      </c>
      <c r="AK1596">
        <v>0</v>
      </c>
      <c r="AL1596">
        <f t="shared" si="24"/>
        <v>1152</v>
      </c>
      <c r="AM1596">
        <f>IF(OR(Table1[[#This Row],[marital_Married]]=1,Table1[[#This Row],[marital_Together]]=1),1,0)</f>
        <v>1</v>
      </c>
      <c r="AN1596" t="str">
        <f>IF(Table1[[#This Row],[Income]]&gt;=70000,"HIGH INCOME","LOW INCOME")</f>
        <v>LOW INCOME</v>
      </c>
      <c r="AO1596" s="1" t="str">
        <f>IF(Table1[[#This Row],[MNT_TOTAL]]&gt;=900,"HIGH VALUE","LOW VALUE")</f>
        <v>HIGH VALUE</v>
      </c>
      <c r="AP15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96" s="1"/>
      <c r="AR1596" s="1"/>
    </row>
    <row r="1597" spans="1:44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55</v>
      </c>
      <c r="X1597">
        <v>2472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117</v>
      </c>
      <c r="AJ1597">
        <v>112</v>
      </c>
      <c r="AK1597">
        <v>1</v>
      </c>
      <c r="AL1597">
        <f t="shared" si="24"/>
        <v>122</v>
      </c>
      <c r="AM1597">
        <f>IF(OR(Table1[[#This Row],[marital_Married]]=1,Table1[[#This Row],[marital_Together]]=1),1,0)</f>
        <v>1</v>
      </c>
      <c r="AN1597" t="str">
        <f>IF(Table1[[#This Row],[Income]]&gt;=70000,"HIGH INCOME","LOW INCOME")</f>
        <v>LOW INCOME</v>
      </c>
      <c r="AO1597" s="1" t="str">
        <f>IF(Table1[[#This Row],[MNT_TOTAL]]&gt;=900,"HIGH VALUE","LOW VALUE")</f>
        <v>LOW VALUE</v>
      </c>
      <c r="AP15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7" s="1"/>
      <c r="AR1597" s="1"/>
    </row>
    <row r="1598" spans="1:44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49</v>
      </c>
      <c r="X1598">
        <v>2692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57</v>
      </c>
      <c r="AJ1598">
        <v>37</v>
      </c>
      <c r="AK1598">
        <v>0</v>
      </c>
      <c r="AL1598">
        <f t="shared" si="24"/>
        <v>77</v>
      </c>
      <c r="AM1598">
        <f>IF(OR(Table1[[#This Row],[marital_Married]]=1,Table1[[#This Row],[marital_Together]]=1),1,0)</f>
        <v>1</v>
      </c>
      <c r="AN1598" t="str">
        <f>IF(Table1[[#This Row],[Income]]&gt;=70000,"HIGH INCOME","LOW INCOME")</f>
        <v>LOW INCOME</v>
      </c>
      <c r="AO1598" s="1" t="str">
        <f>IF(Table1[[#This Row],[MNT_TOTAL]]&gt;=900,"HIGH VALUE","LOW VALUE")</f>
        <v>LOW VALUE</v>
      </c>
      <c r="AP15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598" s="1"/>
      <c r="AR1598" s="1"/>
    </row>
    <row r="1599" spans="1:44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38</v>
      </c>
      <c r="X1599">
        <v>2801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1257</v>
      </c>
      <c r="AJ1599">
        <v>1225</v>
      </c>
      <c r="AK1599">
        <v>0</v>
      </c>
      <c r="AL1599">
        <f t="shared" si="24"/>
        <v>1289</v>
      </c>
      <c r="AM1599">
        <f>IF(OR(Table1[[#This Row],[marital_Married]]=1,Table1[[#This Row],[marital_Together]]=1),1,0)</f>
        <v>1</v>
      </c>
      <c r="AN1599" t="str">
        <f>IF(Table1[[#This Row],[Income]]&gt;=70000,"HIGH INCOME","LOW INCOME")</f>
        <v>LOW INCOME</v>
      </c>
      <c r="AO1599" s="1" t="str">
        <f>IF(Table1[[#This Row],[MNT_TOTAL]]&gt;=900,"HIGH VALUE","LOW VALUE")</f>
        <v>HIGH VALUE</v>
      </c>
      <c r="AP15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599" s="1"/>
      <c r="AR1599" s="1"/>
    </row>
    <row r="1600" spans="1:44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61</v>
      </c>
      <c r="X1600">
        <v>2688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435</v>
      </c>
      <c r="AJ1600">
        <v>309</v>
      </c>
      <c r="AK1600">
        <v>0</v>
      </c>
      <c r="AL1600">
        <f t="shared" si="24"/>
        <v>561</v>
      </c>
      <c r="AM1600">
        <f>IF(OR(Table1[[#This Row],[marital_Married]]=1,Table1[[#This Row],[marital_Together]]=1),1,0)</f>
        <v>0</v>
      </c>
      <c r="AN1600" t="str">
        <f>IF(Table1[[#This Row],[Income]]&gt;=70000,"HIGH INCOME","LOW INCOME")</f>
        <v>LOW INCOME</v>
      </c>
      <c r="AO1600" s="1" t="str">
        <f>IF(Table1[[#This Row],[MNT_TOTAL]]&gt;=900,"HIGH VALUE","LOW VALUE")</f>
        <v>LOW VALUE</v>
      </c>
      <c r="AP16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00" s="1"/>
      <c r="AR1600" s="1"/>
    </row>
    <row r="1601" spans="1:44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57</v>
      </c>
      <c r="X1601">
        <v>2681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193</v>
      </c>
      <c r="AJ1601">
        <v>175</v>
      </c>
      <c r="AK1601">
        <v>0</v>
      </c>
      <c r="AL1601">
        <f t="shared" si="24"/>
        <v>211</v>
      </c>
      <c r="AM1601">
        <f>IF(OR(Table1[[#This Row],[marital_Married]]=1,Table1[[#This Row],[marital_Together]]=1),1,0)</f>
        <v>1</v>
      </c>
      <c r="AN1601" t="str">
        <f>IF(Table1[[#This Row],[Income]]&gt;=70000,"HIGH INCOME","LOW INCOME")</f>
        <v>LOW INCOME</v>
      </c>
      <c r="AO1601" s="1" t="str">
        <f>IF(Table1[[#This Row],[MNT_TOTAL]]&gt;=900,"HIGH VALUE","LOW VALUE")</f>
        <v>LOW VALUE</v>
      </c>
      <c r="AP16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1" s="1"/>
      <c r="AR1601" s="1"/>
    </row>
    <row r="1602" spans="1:44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68</v>
      </c>
      <c r="X1602">
        <v>2277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224</v>
      </c>
      <c r="AJ1602">
        <v>215</v>
      </c>
      <c r="AK1602">
        <v>0</v>
      </c>
      <c r="AL1602">
        <f t="shared" ref="AL1602:AL1665" si="25">SUM(E1602:J1602)</f>
        <v>233</v>
      </c>
      <c r="AM1602">
        <f>IF(OR(Table1[[#This Row],[marital_Married]]=1,Table1[[#This Row],[marital_Together]]=1),1,0)</f>
        <v>1</v>
      </c>
      <c r="AN1602" t="str">
        <f>IF(Table1[[#This Row],[Income]]&gt;=70000,"HIGH INCOME","LOW INCOME")</f>
        <v>LOW INCOME</v>
      </c>
      <c r="AO1602" s="1" t="str">
        <f>IF(Table1[[#This Row],[MNT_TOTAL]]&gt;=900,"HIGH VALUE","LOW VALUE")</f>
        <v>LOW VALUE</v>
      </c>
      <c r="AP16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2" s="1"/>
      <c r="AR1602" s="1"/>
    </row>
    <row r="1603" spans="1:44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49</v>
      </c>
      <c r="X1603">
        <v>2818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1051</v>
      </c>
      <c r="AJ1603">
        <v>1010</v>
      </c>
      <c r="AK1603">
        <v>0</v>
      </c>
      <c r="AL1603">
        <f t="shared" si="25"/>
        <v>1092</v>
      </c>
      <c r="AM1603">
        <f>IF(OR(Table1[[#This Row],[marital_Married]]=1,Table1[[#This Row],[marital_Together]]=1),1,0)</f>
        <v>0</v>
      </c>
      <c r="AN1603" t="str">
        <f>IF(Table1[[#This Row],[Income]]&gt;=70000,"HIGH INCOME","LOW INCOME")</f>
        <v>LOW INCOME</v>
      </c>
      <c r="AO1603" s="1" t="str">
        <f>IF(Table1[[#This Row],[MNT_TOTAL]]&gt;=900,"HIGH VALUE","LOW VALUE")</f>
        <v>HIGH VALUE</v>
      </c>
      <c r="AP16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03" s="1"/>
      <c r="AR1603" s="1"/>
    </row>
    <row r="1604" spans="1:44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57</v>
      </c>
      <c r="X1604">
        <v>2628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513</v>
      </c>
      <c r="AJ1604">
        <v>425</v>
      </c>
      <c r="AK1604">
        <v>0</v>
      </c>
      <c r="AL1604">
        <f t="shared" si="25"/>
        <v>601</v>
      </c>
      <c r="AM1604">
        <f>IF(OR(Table1[[#This Row],[marital_Married]]=1,Table1[[#This Row],[marital_Together]]=1),1,0)</f>
        <v>0</v>
      </c>
      <c r="AN1604" t="str">
        <f>IF(Table1[[#This Row],[Income]]&gt;=70000,"HIGH INCOME","LOW INCOME")</f>
        <v>LOW INCOME</v>
      </c>
      <c r="AO1604" s="1" t="str">
        <f>IF(Table1[[#This Row],[MNT_TOTAL]]&gt;=900,"HIGH VALUE","LOW VALUE")</f>
        <v>LOW VALUE</v>
      </c>
      <c r="AP16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04" s="1"/>
      <c r="AR1604" s="1"/>
    </row>
    <row r="1605" spans="1:44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38</v>
      </c>
      <c r="X1605">
        <v>2286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44</v>
      </c>
      <c r="AJ1605">
        <v>34</v>
      </c>
      <c r="AK1605">
        <v>0</v>
      </c>
      <c r="AL1605">
        <f t="shared" si="25"/>
        <v>54</v>
      </c>
      <c r="AM1605">
        <f>IF(OR(Table1[[#This Row],[marital_Married]]=1,Table1[[#This Row],[marital_Together]]=1),1,0)</f>
        <v>1</v>
      </c>
      <c r="AN1605" t="str">
        <f>IF(Table1[[#This Row],[Income]]&gt;=70000,"HIGH INCOME","LOW INCOME")</f>
        <v>LOW INCOME</v>
      </c>
      <c r="AO1605" s="1" t="str">
        <f>IF(Table1[[#This Row],[MNT_TOTAL]]&gt;=900,"HIGH VALUE","LOW VALUE")</f>
        <v>LOW VALUE</v>
      </c>
      <c r="AP16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5" s="1"/>
      <c r="AR1605" s="1"/>
    </row>
    <row r="1606" spans="1:44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44</v>
      </c>
      <c r="X1606">
        <v>2406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66</v>
      </c>
      <c r="AJ1606">
        <v>54</v>
      </c>
      <c r="AK1606">
        <v>0</v>
      </c>
      <c r="AL1606">
        <f t="shared" si="25"/>
        <v>78</v>
      </c>
      <c r="AM1606">
        <f>IF(OR(Table1[[#This Row],[marital_Married]]=1,Table1[[#This Row],[marital_Together]]=1),1,0)</f>
        <v>1</v>
      </c>
      <c r="AN1606" t="str">
        <f>IF(Table1[[#This Row],[Income]]&gt;=70000,"HIGH INCOME","LOW INCOME")</f>
        <v>LOW INCOME</v>
      </c>
      <c r="AO1606" s="1" t="str">
        <f>IF(Table1[[#This Row],[MNT_TOTAL]]&gt;=900,"HIGH VALUE","LOW VALUE")</f>
        <v>LOW VALUE</v>
      </c>
      <c r="AP16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6" s="1"/>
      <c r="AR1606" s="1"/>
    </row>
    <row r="1607" spans="1:44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73</v>
      </c>
      <c r="X1607">
        <v>2461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1024</v>
      </c>
      <c r="AJ1607">
        <v>953</v>
      </c>
      <c r="AK1607">
        <v>0</v>
      </c>
      <c r="AL1607">
        <f t="shared" si="25"/>
        <v>1095</v>
      </c>
      <c r="AM1607">
        <f>IF(OR(Table1[[#This Row],[marital_Married]]=1,Table1[[#This Row],[marital_Together]]=1),1,0)</f>
        <v>1</v>
      </c>
      <c r="AN1607" t="str">
        <f>IF(Table1[[#This Row],[Income]]&gt;=70000,"HIGH INCOME","LOW INCOME")</f>
        <v>HIGH INCOME</v>
      </c>
      <c r="AO1607" s="1" t="str">
        <f>IF(Table1[[#This Row],[MNT_TOTAL]]&gt;=900,"HIGH VALUE","LOW VALUE")</f>
        <v>HIGH VALUE</v>
      </c>
      <c r="AP16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07" s="1"/>
      <c r="AR1607" s="1"/>
    </row>
    <row r="1608" spans="1:44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51</v>
      </c>
      <c r="X1608">
        <v>2410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220</v>
      </c>
      <c r="AJ1608">
        <v>196</v>
      </c>
      <c r="AK1608">
        <v>0</v>
      </c>
      <c r="AL1608">
        <f t="shared" si="25"/>
        <v>244</v>
      </c>
      <c r="AM1608">
        <f>IF(OR(Table1[[#This Row],[marital_Married]]=1,Table1[[#This Row],[marital_Together]]=1),1,0)</f>
        <v>1</v>
      </c>
      <c r="AN1608" t="str">
        <f>IF(Table1[[#This Row],[Income]]&gt;=70000,"HIGH INCOME","LOW INCOME")</f>
        <v>LOW INCOME</v>
      </c>
      <c r="AO1608" s="1" t="str">
        <f>IF(Table1[[#This Row],[MNT_TOTAL]]&gt;=900,"HIGH VALUE","LOW VALUE")</f>
        <v>LOW VALUE</v>
      </c>
      <c r="AP16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8" s="1"/>
      <c r="AR1608" s="1"/>
    </row>
    <row r="1609" spans="1:44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61</v>
      </c>
      <c r="X1609">
        <v>2256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116</v>
      </c>
      <c r="AJ1609">
        <v>116</v>
      </c>
      <c r="AK1609">
        <v>0</v>
      </c>
      <c r="AL1609">
        <f t="shared" si="25"/>
        <v>116</v>
      </c>
      <c r="AM1609">
        <f>IF(OR(Table1[[#This Row],[marital_Married]]=1,Table1[[#This Row],[marital_Together]]=1),1,0)</f>
        <v>1</v>
      </c>
      <c r="AN1609" t="str">
        <f>IF(Table1[[#This Row],[Income]]&gt;=70000,"HIGH INCOME","LOW INCOME")</f>
        <v>LOW INCOME</v>
      </c>
      <c r="AO1609" s="1" t="str">
        <f>IF(Table1[[#This Row],[MNT_TOTAL]]&gt;=900,"HIGH VALUE","LOW VALUE")</f>
        <v>LOW VALUE</v>
      </c>
      <c r="AP16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09" s="1"/>
      <c r="AR1609" s="1"/>
    </row>
    <row r="1610" spans="1:44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42</v>
      </c>
      <c r="X1610">
        <v>2534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14</v>
      </c>
      <c r="AJ1610">
        <v>13</v>
      </c>
      <c r="AK1610">
        <v>0</v>
      </c>
      <c r="AL1610">
        <f t="shared" si="25"/>
        <v>15</v>
      </c>
      <c r="AM1610">
        <f>IF(OR(Table1[[#This Row],[marital_Married]]=1,Table1[[#This Row],[marital_Together]]=1),1,0)</f>
        <v>1</v>
      </c>
      <c r="AN1610" t="str">
        <f>IF(Table1[[#This Row],[Income]]&gt;=70000,"HIGH INCOME","LOW INCOME")</f>
        <v>LOW INCOME</v>
      </c>
      <c r="AO1610" s="1" t="str">
        <f>IF(Table1[[#This Row],[MNT_TOTAL]]&gt;=900,"HIGH VALUE","LOW VALUE")</f>
        <v>LOW VALUE</v>
      </c>
      <c r="AP16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0" s="1"/>
      <c r="AR1610" s="1"/>
    </row>
    <row r="1611" spans="1:44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72</v>
      </c>
      <c r="X1611">
        <v>2423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387</v>
      </c>
      <c r="AJ1611">
        <v>349</v>
      </c>
      <c r="AK1611">
        <v>0</v>
      </c>
      <c r="AL1611">
        <f t="shared" si="25"/>
        <v>425</v>
      </c>
      <c r="AM1611">
        <f>IF(OR(Table1[[#This Row],[marital_Married]]=1,Table1[[#This Row],[marital_Together]]=1),1,0)</f>
        <v>1</v>
      </c>
      <c r="AN1611" t="str">
        <f>IF(Table1[[#This Row],[Income]]&gt;=70000,"HIGH INCOME","LOW INCOME")</f>
        <v>LOW INCOME</v>
      </c>
      <c r="AO1611" s="1" t="str">
        <f>IF(Table1[[#This Row],[MNT_TOTAL]]&gt;=900,"HIGH VALUE","LOW VALUE")</f>
        <v>LOW VALUE</v>
      </c>
      <c r="AP16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1" s="1"/>
      <c r="AR1611" s="1"/>
    </row>
    <row r="1612" spans="1:44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65</v>
      </c>
      <c r="X1612">
        <v>2602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699</v>
      </c>
      <c r="AJ1612">
        <v>664</v>
      </c>
      <c r="AK1612">
        <v>0</v>
      </c>
      <c r="AL1612">
        <f t="shared" si="25"/>
        <v>734</v>
      </c>
      <c r="AM1612">
        <f>IF(OR(Table1[[#This Row],[marital_Married]]=1,Table1[[#This Row],[marital_Together]]=1),1,0)</f>
        <v>1</v>
      </c>
      <c r="AN1612" t="str">
        <f>IF(Table1[[#This Row],[Income]]&gt;=70000,"HIGH INCOME","LOW INCOME")</f>
        <v>LOW INCOME</v>
      </c>
      <c r="AO1612" s="1" t="str">
        <f>IF(Table1[[#This Row],[MNT_TOTAL]]&gt;=900,"HIGH VALUE","LOW VALUE")</f>
        <v>LOW VALUE</v>
      </c>
      <c r="AP16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2" s="1"/>
      <c r="AR1612" s="1"/>
    </row>
    <row r="1613" spans="1:44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66</v>
      </c>
      <c r="X1613">
        <v>2536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556</v>
      </c>
      <c r="AJ1613">
        <v>474</v>
      </c>
      <c r="AK1613">
        <v>0</v>
      </c>
      <c r="AL1613">
        <f t="shared" si="25"/>
        <v>638</v>
      </c>
      <c r="AM1613">
        <f>IF(OR(Table1[[#This Row],[marital_Married]]=1,Table1[[#This Row],[marital_Together]]=1),1,0)</f>
        <v>0</v>
      </c>
      <c r="AN1613" t="str">
        <f>IF(Table1[[#This Row],[Income]]&gt;=70000,"HIGH INCOME","LOW INCOME")</f>
        <v>LOW INCOME</v>
      </c>
      <c r="AO1613" s="1" t="str">
        <f>IF(Table1[[#This Row],[MNT_TOTAL]]&gt;=900,"HIGH VALUE","LOW VALUE")</f>
        <v>LOW VALUE</v>
      </c>
      <c r="AP16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13" s="1"/>
      <c r="AR1613" s="1"/>
    </row>
    <row r="1614" spans="1:44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75</v>
      </c>
      <c r="X1614">
        <v>2429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801</v>
      </c>
      <c r="AJ1614">
        <v>708</v>
      </c>
      <c r="AK1614">
        <v>0</v>
      </c>
      <c r="AL1614">
        <f t="shared" si="25"/>
        <v>894</v>
      </c>
      <c r="AM1614">
        <f>IF(OR(Table1[[#This Row],[marital_Married]]=1,Table1[[#This Row],[marital_Together]]=1),1,0)</f>
        <v>1</v>
      </c>
      <c r="AN1614" t="str">
        <f>IF(Table1[[#This Row],[Income]]&gt;=70000,"HIGH INCOME","LOW INCOME")</f>
        <v>LOW INCOME</v>
      </c>
      <c r="AO1614" s="1" t="str">
        <f>IF(Table1[[#This Row],[MNT_TOTAL]]&gt;=900,"HIGH VALUE","LOW VALUE")</f>
        <v>LOW VALUE</v>
      </c>
      <c r="AP16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4" s="1"/>
      <c r="AR1614" s="1"/>
    </row>
    <row r="1615" spans="1:44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51</v>
      </c>
      <c r="X1615">
        <v>2169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37</v>
      </c>
      <c r="AJ1615">
        <v>33</v>
      </c>
      <c r="AK1615">
        <v>0</v>
      </c>
      <c r="AL1615">
        <f t="shared" si="25"/>
        <v>41</v>
      </c>
      <c r="AM1615">
        <f>IF(OR(Table1[[#This Row],[marital_Married]]=1,Table1[[#This Row],[marital_Together]]=1),1,0)</f>
        <v>1</v>
      </c>
      <c r="AN1615" t="str">
        <f>IF(Table1[[#This Row],[Income]]&gt;=70000,"HIGH INCOME","LOW INCOME")</f>
        <v>LOW INCOME</v>
      </c>
      <c r="AO1615" s="1" t="str">
        <f>IF(Table1[[#This Row],[MNT_TOTAL]]&gt;=900,"HIGH VALUE","LOW VALUE")</f>
        <v>LOW VALUE</v>
      </c>
      <c r="AP16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5" s="1"/>
      <c r="AR1615" s="1"/>
    </row>
    <row r="1616" spans="1:44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44</v>
      </c>
      <c r="X1616">
        <v>2526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24</v>
      </c>
      <c r="AJ1616">
        <v>17</v>
      </c>
      <c r="AK1616">
        <v>0</v>
      </c>
      <c r="AL1616">
        <f t="shared" si="25"/>
        <v>31</v>
      </c>
      <c r="AM1616">
        <f>IF(OR(Table1[[#This Row],[marital_Married]]=1,Table1[[#This Row],[marital_Together]]=1),1,0)</f>
        <v>1</v>
      </c>
      <c r="AN1616" t="str">
        <f>IF(Table1[[#This Row],[Income]]&gt;=70000,"HIGH INCOME","LOW INCOME")</f>
        <v>LOW INCOME</v>
      </c>
      <c r="AO1616" s="1" t="str">
        <f>IF(Table1[[#This Row],[MNT_TOTAL]]&gt;=900,"HIGH VALUE","LOW VALUE")</f>
        <v>LOW VALUE</v>
      </c>
      <c r="AP16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6" s="1"/>
      <c r="AR1616" s="1"/>
    </row>
    <row r="1617" spans="1:44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51</v>
      </c>
      <c r="X1617">
        <v>2257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27</v>
      </c>
      <c r="AJ1617">
        <v>20</v>
      </c>
      <c r="AK1617">
        <v>0</v>
      </c>
      <c r="AL1617">
        <f t="shared" si="25"/>
        <v>34</v>
      </c>
      <c r="AM1617">
        <f>IF(OR(Table1[[#This Row],[marital_Married]]=1,Table1[[#This Row],[marital_Together]]=1),1,0)</f>
        <v>1</v>
      </c>
      <c r="AN1617" t="str">
        <f>IF(Table1[[#This Row],[Income]]&gt;=70000,"HIGH INCOME","LOW INCOME")</f>
        <v>LOW INCOME</v>
      </c>
      <c r="AO1617" s="1" t="str">
        <f>IF(Table1[[#This Row],[MNT_TOTAL]]&gt;=900,"HIGH VALUE","LOW VALUE")</f>
        <v>LOW VALUE</v>
      </c>
      <c r="AP16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7" s="1"/>
      <c r="AR1617" s="1"/>
    </row>
    <row r="1618" spans="1:44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1</v>
      </c>
      <c r="W1618">
        <v>56</v>
      </c>
      <c r="X1618">
        <v>2438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1535</v>
      </c>
      <c r="AJ1618">
        <v>1320</v>
      </c>
      <c r="AK1618">
        <v>3</v>
      </c>
      <c r="AL1618">
        <f t="shared" si="25"/>
        <v>1750</v>
      </c>
      <c r="AM1618">
        <f>IF(OR(Table1[[#This Row],[marital_Married]]=1,Table1[[#This Row],[marital_Together]]=1),1,0)</f>
        <v>0</v>
      </c>
      <c r="AN1618" t="str">
        <f>IF(Table1[[#This Row],[Income]]&gt;=70000,"HIGH INCOME","LOW INCOME")</f>
        <v>LOW INCOME</v>
      </c>
      <c r="AO1618" s="1" t="str">
        <f>IF(Table1[[#This Row],[MNT_TOTAL]]&gt;=900,"HIGH VALUE","LOW VALUE")</f>
        <v>HIGH VALUE</v>
      </c>
      <c r="AP16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18" s="1"/>
      <c r="AR1618" s="1"/>
    </row>
    <row r="1619" spans="1:44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39</v>
      </c>
      <c r="X1619">
        <v>2769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537</v>
      </c>
      <c r="AJ1619">
        <v>462</v>
      </c>
      <c r="AK1619">
        <v>0</v>
      </c>
      <c r="AL1619">
        <f t="shared" si="25"/>
        <v>612</v>
      </c>
      <c r="AM1619">
        <f>IF(OR(Table1[[#This Row],[marital_Married]]=1,Table1[[#This Row],[marital_Together]]=1),1,0)</f>
        <v>1</v>
      </c>
      <c r="AN1619" t="str">
        <f>IF(Table1[[#This Row],[Income]]&gt;=70000,"HIGH INCOME","LOW INCOME")</f>
        <v>LOW INCOME</v>
      </c>
      <c r="AO1619" s="1" t="str">
        <f>IF(Table1[[#This Row],[MNT_TOTAL]]&gt;=900,"HIGH VALUE","LOW VALUE")</f>
        <v>LOW VALUE</v>
      </c>
      <c r="AP16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19" s="1"/>
      <c r="AR1619" s="1"/>
    </row>
    <row r="1620" spans="1:44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41</v>
      </c>
      <c r="X1620">
        <v>2360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20</v>
      </c>
      <c r="AJ1620">
        <v>11</v>
      </c>
      <c r="AK1620">
        <v>0</v>
      </c>
      <c r="AL1620">
        <f t="shared" si="25"/>
        <v>29</v>
      </c>
      <c r="AM1620">
        <f>IF(OR(Table1[[#This Row],[marital_Married]]=1,Table1[[#This Row],[marital_Together]]=1),1,0)</f>
        <v>1</v>
      </c>
      <c r="AN1620" t="str">
        <f>IF(Table1[[#This Row],[Income]]&gt;=70000,"HIGH INCOME","LOW INCOME")</f>
        <v>LOW INCOME</v>
      </c>
      <c r="AO1620" s="1" t="str">
        <f>IF(Table1[[#This Row],[MNT_TOTAL]]&gt;=900,"HIGH VALUE","LOW VALUE")</f>
        <v>LOW VALUE</v>
      </c>
      <c r="AP16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20" s="1"/>
      <c r="AR1620" s="1"/>
    </row>
    <row r="1621" spans="1:44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39</v>
      </c>
      <c r="X1621">
        <v>2217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767</v>
      </c>
      <c r="AJ1621">
        <v>711</v>
      </c>
      <c r="AK1621">
        <v>0</v>
      </c>
      <c r="AL1621">
        <f t="shared" si="25"/>
        <v>823</v>
      </c>
      <c r="AM1621">
        <f>IF(OR(Table1[[#This Row],[marital_Married]]=1,Table1[[#This Row],[marital_Together]]=1),1,0)</f>
        <v>1</v>
      </c>
      <c r="AN1621" t="str">
        <f>IF(Table1[[#This Row],[Income]]&gt;=70000,"HIGH INCOME","LOW INCOME")</f>
        <v>HIGH INCOME</v>
      </c>
      <c r="AO1621" s="1" t="str">
        <f>IF(Table1[[#This Row],[MNT_TOTAL]]&gt;=900,"HIGH VALUE","LOW VALUE")</f>
        <v>LOW VALUE</v>
      </c>
      <c r="AP16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1" s="1"/>
      <c r="AR1621" s="1"/>
    </row>
    <row r="1622" spans="1:44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60</v>
      </c>
      <c r="X1622">
        <v>2574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17</v>
      </c>
      <c r="AJ1622">
        <v>14</v>
      </c>
      <c r="AK1622">
        <v>0</v>
      </c>
      <c r="AL1622">
        <f t="shared" si="25"/>
        <v>20</v>
      </c>
      <c r="AM1622">
        <f>IF(OR(Table1[[#This Row],[marital_Married]]=1,Table1[[#This Row],[marital_Together]]=1),1,0)</f>
        <v>0</v>
      </c>
      <c r="AN1622" t="str">
        <f>IF(Table1[[#This Row],[Income]]&gt;=70000,"HIGH INCOME","LOW INCOME")</f>
        <v>LOW INCOME</v>
      </c>
      <c r="AO1622" s="1" t="str">
        <f>IF(Table1[[#This Row],[MNT_TOTAL]]&gt;=900,"HIGH VALUE","LOW VALUE")</f>
        <v>LOW VALUE</v>
      </c>
      <c r="AP16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2" s="1"/>
      <c r="AR1622" s="1"/>
    </row>
    <row r="1623" spans="1:44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46</v>
      </c>
      <c r="X1623">
        <v>2358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377</v>
      </c>
      <c r="AJ1623">
        <v>358</v>
      </c>
      <c r="AK1623">
        <v>0</v>
      </c>
      <c r="AL1623">
        <f t="shared" si="25"/>
        <v>396</v>
      </c>
      <c r="AM1623">
        <f>IF(OR(Table1[[#This Row],[marital_Married]]=1,Table1[[#This Row],[marital_Together]]=1),1,0)</f>
        <v>1</v>
      </c>
      <c r="AN1623" t="str">
        <f>IF(Table1[[#This Row],[Income]]&gt;=70000,"HIGH INCOME","LOW INCOME")</f>
        <v>LOW INCOME</v>
      </c>
      <c r="AO1623" s="1" t="str">
        <f>IF(Table1[[#This Row],[MNT_TOTAL]]&gt;=900,"HIGH VALUE","LOW VALUE")</f>
        <v>LOW VALUE</v>
      </c>
      <c r="AP16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23" s="1"/>
      <c r="AR1623" s="1"/>
    </row>
    <row r="1624" spans="1:44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39</v>
      </c>
      <c r="X1624">
        <v>2172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728</v>
      </c>
      <c r="AJ1624">
        <v>643</v>
      </c>
      <c r="AK1624">
        <v>1</v>
      </c>
      <c r="AL1624">
        <f t="shared" si="25"/>
        <v>813</v>
      </c>
      <c r="AM1624">
        <f>IF(OR(Table1[[#This Row],[marital_Married]]=1,Table1[[#This Row],[marital_Together]]=1),1,0)</f>
        <v>0</v>
      </c>
      <c r="AN1624" t="str">
        <f>IF(Table1[[#This Row],[Income]]&gt;=70000,"HIGH INCOME","LOW INCOME")</f>
        <v>LOW INCOME</v>
      </c>
      <c r="AO1624" s="1" t="str">
        <f>IF(Table1[[#This Row],[MNT_TOTAL]]&gt;=900,"HIGH VALUE","LOW VALUE")</f>
        <v>LOW VALUE</v>
      </c>
      <c r="AP16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4" s="1"/>
      <c r="AR1624" s="1"/>
    </row>
    <row r="1625" spans="1:44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53</v>
      </c>
      <c r="X1625">
        <v>2566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1052</v>
      </c>
      <c r="AJ1625">
        <v>925</v>
      </c>
      <c r="AK1625">
        <v>0</v>
      </c>
      <c r="AL1625">
        <f t="shared" si="25"/>
        <v>1179</v>
      </c>
      <c r="AM1625">
        <f>IF(OR(Table1[[#This Row],[marital_Married]]=1,Table1[[#This Row],[marital_Together]]=1),1,0)</f>
        <v>0</v>
      </c>
      <c r="AN1625" t="str">
        <f>IF(Table1[[#This Row],[Income]]&gt;=70000,"HIGH INCOME","LOW INCOME")</f>
        <v>LOW INCOME</v>
      </c>
      <c r="AO1625" s="1" t="str">
        <f>IF(Table1[[#This Row],[MNT_TOTAL]]&gt;=900,"HIGH VALUE","LOW VALUE")</f>
        <v>HIGH VALUE</v>
      </c>
      <c r="AP16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5" s="1"/>
      <c r="AR1625" s="1"/>
    </row>
    <row r="1626" spans="1:44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70</v>
      </c>
      <c r="X1626">
        <v>2212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122</v>
      </c>
      <c r="AJ1626">
        <v>106</v>
      </c>
      <c r="AK1626">
        <v>0</v>
      </c>
      <c r="AL1626">
        <f t="shared" si="25"/>
        <v>138</v>
      </c>
      <c r="AM1626">
        <f>IF(OR(Table1[[#This Row],[marital_Married]]=1,Table1[[#This Row],[marital_Together]]=1),1,0)</f>
        <v>0</v>
      </c>
      <c r="AN1626" t="str">
        <f>IF(Table1[[#This Row],[Income]]&gt;=70000,"HIGH INCOME","LOW INCOME")</f>
        <v>LOW INCOME</v>
      </c>
      <c r="AO1626" s="1" t="str">
        <f>IF(Table1[[#This Row],[MNT_TOTAL]]&gt;=900,"HIGH VALUE","LOW VALUE")</f>
        <v>LOW VALUE</v>
      </c>
      <c r="AP16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6" s="1"/>
      <c r="AR1626" s="1"/>
    </row>
    <row r="1627" spans="1:44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38</v>
      </c>
      <c r="X1627">
        <v>2282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37</v>
      </c>
      <c r="AJ1627">
        <v>19</v>
      </c>
      <c r="AK1627">
        <v>0</v>
      </c>
      <c r="AL1627">
        <f t="shared" si="25"/>
        <v>55</v>
      </c>
      <c r="AM1627">
        <f>IF(OR(Table1[[#This Row],[marital_Married]]=1,Table1[[#This Row],[marital_Together]]=1),1,0)</f>
        <v>1</v>
      </c>
      <c r="AN1627" t="str">
        <f>IF(Table1[[#This Row],[Income]]&gt;=70000,"HIGH INCOME","LOW INCOME")</f>
        <v>LOW INCOME</v>
      </c>
      <c r="AO1627" s="1" t="str">
        <f>IF(Table1[[#This Row],[MNT_TOTAL]]&gt;=900,"HIGH VALUE","LOW VALUE")</f>
        <v>LOW VALUE</v>
      </c>
      <c r="AP16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27" s="1"/>
      <c r="AR1627" s="1"/>
    </row>
    <row r="1628" spans="1:44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59</v>
      </c>
      <c r="X1628">
        <v>2837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1480</v>
      </c>
      <c r="AJ1628">
        <v>1449</v>
      </c>
      <c r="AK1628">
        <v>0</v>
      </c>
      <c r="AL1628">
        <f t="shared" si="25"/>
        <v>1511</v>
      </c>
      <c r="AM1628">
        <f>IF(OR(Table1[[#This Row],[marital_Married]]=1,Table1[[#This Row],[marital_Together]]=1),1,0)</f>
        <v>0</v>
      </c>
      <c r="AN1628" t="str">
        <f>IF(Table1[[#This Row],[Income]]&gt;=70000,"HIGH INCOME","LOW INCOME")</f>
        <v>HIGH INCOME</v>
      </c>
      <c r="AO1628" s="1" t="str">
        <f>IF(Table1[[#This Row],[MNT_TOTAL]]&gt;=900,"HIGH VALUE","LOW VALUE")</f>
        <v>HIGH VALUE</v>
      </c>
      <c r="AP16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28" s="1"/>
      <c r="AR1628" s="1"/>
    </row>
    <row r="1629" spans="1:44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57</v>
      </c>
      <c r="X1629">
        <v>2819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91</v>
      </c>
      <c r="AJ1629">
        <v>65</v>
      </c>
      <c r="AK1629">
        <v>0</v>
      </c>
      <c r="AL1629">
        <f t="shared" si="25"/>
        <v>117</v>
      </c>
      <c r="AM1629">
        <f>IF(OR(Table1[[#This Row],[marital_Married]]=1,Table1[[#This Row],[marital_Together]]=1),1,0)</f>
        <v>0</v>
      </c>
      <c r="AN1629" t="str">
        <f>IF(Table1[[#This Row],[Income]]&gt;=70000,"HIGH INCOME","LOW INCOME")</f>
        <v>LOW INCOME</v>
      </c>
      <c r="AO1629" s="1" t="str">
        <f>IF(Table1[[#This Row],[MNT_TOTAL]]&gt;=900,"HIGH VALUE","LOW VALUE")</f>
        <v>LOW VALUE</v>
      </c>
      <c r="AP16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29" s="1"/>
      <c r="AR1629" s="1"/>
    </row>
    <row r="1630" spans="1:44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73</v>
      </c>
      <c r="X1630">
        <v>2501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24</v>
      </c>
      <c r="AJ1630">
        <v>16</v>
      </c>
      <c r="AK1630">
        <v>0</v>
      </c>
      <c r="AL1630">
        <f t="shared" si="25"/>
        <v>32</v>
      </c>
      <c r="AM1630">
        <f>IF(OR(Table1[[#This Row],[marital_Married]]=1,Table1[[#This Row],[marital_Together]]=1),1,0)</f>
        <v>0</v>
      </c>
      <c r="AN1630" t="str">
        <f>IF(Table1[[#This Row],[Income]]&gt;=70000,"HIGH INCOME","LOW INCOME")</f>
        <v>LOW INCOME</v>
      </c>
      <c r="AO1630" s="1" t="str">
        <f>IF(Table1[[#This Row],[MNT_TOTAL]]&gt;=900,"HIGH VALUE","LOW VALUE")</f>
        <v>LOW VALUE</v>
      </c>
      <c r="AP16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30" s="1"/>
      <c r="AR1630" s="1"/>
    </row>
    <row r="1631" spans="1:44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42</v>
      </c>
      <c r="X1631">
        <v>2272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63</v>
      </c>
      <c r="AJ1631">
        <v>59</v>
      </c>
      <c r="AK1631">
        <v>0</v>
      </c>
      <c r="AL1631">
        <f t="shared" si="25"/>
        <v>67</v>
      </c>
      <c r="AM1631">
        <f>IF(OR(Table1[[#This Row],[marital_Married]]=1,Table1[[#This Row],[marital_Together]]=1),1,0)</f>
        <v>0</v>
      </c>
      <c r="AN1631" t="str">
        <f>IF(Table1[[#This Row],[Income]]&gt;=70000,"HIGH INCOME","LOW INCOME")</f>
        <v>LOW INCOME</v>
      </c>
      <c r="AO1631" s="1" t="str">
        <f>IF(Table1[[#This Row],[MNT_TOTAL]]&gt;=900,"HIGH VALUE","LOW VALUE")</f>
        <v>LOW VALUE</v>
      </c>
      <c r="AP16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31" s="1"/>
      <c r="AR1631" s="1"/>
    </row>
    <row r="1632" spans="1:44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66</v>
      </c>
      <c r="X1632">
        <v>2556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305</v>
      </c>
      <c r="AJ1632">
        <v>275</v>
      </c>
      <c r="AK1632">
        <v>0</v>
      </c>
      <c r="AL1632">
        <f t="shared" si="25"/>
        <v>335</v>
      </c>
      <c r="AM1632">
        <f>IF(OR(Table1[[#This Row],[marital_Married]]=1,Table1[[#This Row],[marital_Together]]=1),1,0)</f>
        <v>1</v>
      </c>
      <c r="AN1632" t="str">
        <f>IF(Table1[[#This Row],[Income]]&gt;=70000,"HIGH INCOME","LOW INCOME")</f>
        <v>LOW INCOME</v>
      </c>
      <c r="AO1632" s="1" t="str">
        <f>IF(Table1[[#This Row],[MNT_TOTAL]]&gt;=900,"HIGH VALUE","LOW VALUE")</f>
        <v>LOW VALUE</v>
      </c>
      <c r="AP16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32" s="1"/>
      <c r="AR1632" s="1"/>
    </row>
    <row r="1633" spans="1:44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66</v>
      </c>
      <c r="X1633">
        <v>2306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787</v>
      </c>
      <c r="AJ1633">
        <v>749</v>
      </c>
      <c r="AK1633">
        <v>0</v>
      </c>
      <c r="AL1633">
        <f t="shared" si="25"/>
        <v>825</v>
      </c>
      <c r="AM1633">
        <f>IF(OR(Table1[[#This Row],[marital_Married]]=1,Table1[[#This Row],[marital_Together]]=1),1,0)</f>
        <v>1</v>
      </c>
      <c r="AN1633" t="str">
        <f>IF(Table1[[#This Row],[Income]]&gt;=70000,"HIGH INCOME","LOW INCOME")</f>
        <v>LOW INCOME</v>
      </c>
      <c r="AO1633" s="1" t="str">
        <f>IF(Table1[[#This Row],[MNT_TOTAL]]&gt;=900,"HIGH VALUE","LOW VALUE")</f>
        <v>LOW VALUE</v>
      </c>
      <c r="AP16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33" s="1"/>
      <c r="AR1633" s="1"/>
    </row>
    <row r="1634" spans="1:44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48</v>
      </c>
      <c r="X1634">
        <v>2499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560</v>
      </c>
      <c r="AJ1634">
        <v>426</v>
      </c>
      <c r="AK1634">
        <v>0</v>
      </c>
      <c r="AL1634">
        <f t="shared" si="25"/>
        <v>694</v>
      </c>
      <c r="AM1634">
        <f>IF(OR(Table1[[#This Row],[marital_Married]]=1,Table1[[#This Row],[marital_Together]]=1),1,0)</f>
        <v>1</v>
      </c>
      <c r="AN1634" t="str">
        <f>IF(Table1[[#This Row],[Income]]&gt;=70000,"HIGH INCOME","LOW INCOME")</f>
        <v>LOW INCOME</v>
      </c>
      <c r="AO1634" s="1" t="str">
        <f>IF(Table1[[#This Row],[MNT_TOTAL]]&gt;=900,"HIGH VALUE","LOW VALUE")</f>
        <v>LOW VALUE</v>
      </c>
      <c r="AP16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34" s="1"/>
      <c r="AR1634" s="1"/>
    </row>
    <row r="1635" spans="1:44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1</v>
      </c>
      <c r="W1635">
        <v>39</v>
      </c>
      <c r="X1635">
        <v>2165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1758</v>
      </c>
      <c r="AJ1635">
        <v>1724</v>
      </c>
      <c r="AK1635">
        <v>2</v>
      </c>
      <c r="AL1635">
        <f t="shared" si="25"/>
        <v>1792</v>
      </c>
      <c r="AM1635">
        <f>IF(OR(Table1[[#This Row],[marital_Married]]=1,Table1[[#This Row],[marital_Together]]=1),1,0)</f>
        <v>0</v>
      </c>
      <c r="AN1635" t="str">
        <f>IF(Table1[[#This Row],[Income]]&gt;=70000,"HIGH INCOME","LOW INCOME")</f>
        <v>HIGH INCOME</v>
      </c>
      <c r="AO1635" s="1" t="str">
        <f>IF(Table1[[#This Row],[MNT_TOTAL]]&gt;=900,"HIGH VALUE","LOW VALUE")</f>
        <v>HIGH VALUE</v>
      </c>
      <c r="AP16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35" s="1"/>
      <c r="AR1635" s="1"/>
    </row>
    <row r="1636" spans="1:44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62</v>
      </c>
      <c r="X1636">
        <v>2582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444</v>
      </c>
      <c r="AJ1636">
        <v>392</v>
      </c>
      <c r="AK1636">
        <v>0</v>
      </c>
      <c r="AL1636">
        <f t="shared" si="25"/>
        <v>496</v>
      </c>
      <c r="AM1636">
        <f>IF(OR(Table1[[#This Row],[marital_Married]]=1,Table1[[#This Row],[marital_Together]]=1),1,0)</f>
        <v>0</v>
      </c>
      <c r="AN1636" t="str">
        <f>IF(Table1[[#This Row],[Income]]&gt;=70000,"HIGH INCOME","LOW INCOME")</f>
        <v>LOW INCOME</v>
      </c>
      <c r="AO1636" s="1" t="str">
        <f>IF(Table1[[#This Row],[MNT_TOTAL]]&gt;=900,"HIGH VALUE","LOW VALUE")</f>
        <v>LOW VALUE</v>
      </c>
      <c r="AP16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36" s="1"/>
      <c r="AR1636" s="1"/>
    </row>
    <row r="1637" spans="1:44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52</v>
      </c>
      <c r="X1637">
        <v>2569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189</v>
      </c>
      <c r="AJ1637">
        <v>147</v>
      </c>
      <c r="AK1637">
        <v>0</v>
      </c>
      <c r="AL1637">
        <f t="shared" si="25"/>
        <v>231</v>
      </c>
      <c r="AM1637">
        <f>IF(OR(Table1[[#This Row],[marital_Married]]=1,Table1[[#This Row],[marital_Together]]=1),1,0)</f>
        <v>1</v>
      </c>
      <c r="AN1637" t="str">
        <f>IF(Table1[[#This Row],[Income]]&gt;=70000,"HIGH INCOME","LOW INCOME")</f>
        <v>LOW INCOME</v>
      </c>
      <c r="AO1637" s="1" t="str">
        <f>IF(Table1[[#This Row],[MNT_TOTAL]]&gt;=900,"HIGH VALUE","LOW VALUE")</f>
        <v>LOW VALUE</v>
      </c>
      <c r="AP16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37" s="1"/>
      <c r="AR1637" s="1"/>
    </row>
    <row r="1638" spans="1:44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44</v>
      </c>
      <c r="X1638">
        <v>2190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837</v>
      </c>
      <c r="AJ1638">
        <v>772</v>
      </c>
      <c r="AK1638">
        <v>0</v>
      </c>
      <c r="AL1638">
        <f t="shared" si="25"/>
        <v>902</v>
      </c>
      <c r="AM1638">
        <f>IF(OR(Table1[[#This Row],[marital_Married]]=1,Table1[[#This Row],[marital_Together]]=1),1,0)</f>
        <v>0</v>
      </c>
      <c r="AN1638" t="str">
        <f>IF(Table1[[#This Row],[Income]]&gt;=70000,"HIGH INCOME","LOW INCOME")</f>
        <v>LOW INCOME</v>
      </c>
      <c r="AO1638" s="1" t="str">
        <f>IF(Table1[[#This Row],[MNT_TOTAL]]&gt;=900,"HIGH VALUE","LOW VALUE")</f>
        <v>HIGH VALUE</v>
      </c>
      <c r="AP16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38" s="1"/>
      <c r="AR1638" s="1"/>
    </row>
    <row r="1639" spans="1:44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2329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49</v>
      </c>
      <c r="AJ1639">
        <v>30</v>
      </c>
      <c r="AK1639">
        <v>0</v>
      </c>
      <c r="AL1639">
        <f t="shared" si="25"/>
        <v>68</v>
      </c>
      <c r="AM1639">
        <f>IF(OR(Table1[[#This Row],[marital_Married]]=1,Table1[[#This Row],[marital_Together]]=1),1,0)</f>
        <v>0</v>
      </c>
      <c r="AN1639" t="str">
        <f>IF(Table1[[#This Row],[Income]]&gt;=70000,"HIGH INCOME","LOW INCOME")</f>
        <v>LOW INCOME</v>
      </c>
      <c r="AO1639" s="1" t="str">
        <f>IF(Table1[[#This Row],[MNT_TOTAL]]&gt;=900,"HIGH VALUE","LOW VALUE")</f>
        <v>LOW VALUE</v>
      </c>
      <c r="AP16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39" s="1"/>
      <c r="AR1639" s="1"/>
    </row>
    <row r="1640" spans="1:44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31</v>
      </c>
      <c r="X1640">
        <v>2450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65</v>
      </c>
      <c r="AJ1640">
        <v>59</v>
      </c>
      <c r="AK1640">
        <v>0</v>
      </c>
      <c r="AL1640">
        <f t="shared" si="25"/>
        <v>71</v>
      </c>
      <c r="AM1640">
        <f>IF(OR(Table1[[#This Row],[marital_Married]]=1,Table1[[#This Row],[marital_Together]]=1),1,0)</f>
        <v>0</v>
      </c>
      <c r="AN1640" t="str">
        <f>IF(Table1[[#This Row],[Income]]&gt;=70000,"HIGH INCOME","LOW INCOME")</f>
        <v>LOW INCOME</v>
      </c>
      <c r="AO1640" s="1" t="str">
        <f>IF(Table1[[#This Row],[MNT_TOTAL]]&gt;=900,"HIGH VALUE","LOW VALUE")</f>
        <v>LOW VALUE</v>
      </c>
      <c r="AP16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40" s="1"/>
      <c r="AR1640" s="1"/>
    </row>
    <row r="1641" spans="1:44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35</v>
      </c>
      <c r="X1641">
        <v>2534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67</v>
      </c>
      <c r="AJ1641">
        <v>58</v>
      </c>
      <c r="AK1641">
        <v>0</v>
      </c>
      <c r="AL1641">
        <f t="shared" si="25"/>
        <v>76</v>
      </c>
      <c r="AM1641">
        <f>IF(OR(Table1[[#This Row],[marital_Married]]=1,Table1[[#This Row],[marital_Together]]=1),1,0)</f>
        <v>0</v>
      </c>
      <c r="AN1641" t="str">
        <f>IF(Table1[[#This Row],[Income]]&gt;=70000,"HIGH INCOME","LOW INCOME")</f>
        <v>LOW INCOME</v>
      </c>
      <c r="AO1641" s="1" t="str">
        <f>IF(Table1[[#This Row],[MNT_TOTAL]]&gt;=900,"HIGH VALUE","LOW VALUE")</f>
        <v>LOW VALUE</v>
      </c>
      <c r="AP16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41" s="1"/>
      <c r="AR1641" s="1"/>
    </row>
    <row r="1642" spans="1:44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53</v>
      </c>
      <c r="X1642">
        <v>2472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765</v>
      </c>
      <c r="AJ1642">
        <v>758</v>
      </c>
      <c r="AK1642">
        <v>0</v>
      </c>
      <c r="AL1642">
        <f t="shared" si="25"/>
        <v>772</v>
      </c>
      <c r="AM1642">
        <f>IF(OR(Table1[[#This Row],[marital_Married]]=1,Table1[[#This Row],[marital_Together]]=1),1,0)</f>
        <v>1</v>
      </c>
      <c r="AN1642" t="str">
        <f>IF(Table1[[#This Row],[Income]]&gt;=70000,"HIGH INCOME","LOW INCOME")</f>
        <v>LOW INCOME</v>
      </c>
      <c r="AO1642" s="1" t="str">
        <f>IF(Table1[[#This Row],[MNT_TOTAL]]&gt;=900,"HIGH VALUE","LOW VALUE")</f>
        <v>LOW VALUE</v>
      </c>
      <c r="AP16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42" s="1"/>
      <c r="AR1642" s="1"/>
    </row>
    <row r="1643" spans="1:44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61</v>
      </c>
      <c r="X1643">
        <v>2341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40</v>
      </c>
      <c r="AJ1643">
        <v>33</v>
      </c>
      <c r="AK1643">
        <v>0</v>
      </c>
      <c r="AL1643">
        <f t="shared" si="25"/>
        <v>47</v>
      </c>
      <c r="AM1643">
        <f>IF(OR(Table1[[#This Row],[marital_Married]]=1,Table1[[#This Row],[marital_Together]]=1),1,0)</f>
        <v>1</v>
      </c>
      <c r="AN1643" t="str">
        <f>IF(Table1[[#This Row],[Income]]&gt;=70000,"HIGH INCOME","LOW INCOME")</f>
        <v>LOW INCOME</v>
      </c>
      <c r="AO1643" s="1" t="str">
        <f>IF(Table1[[#This Row],[MNT_TOTAL]]&gt;=900,"HIGH VALUE","LOW VALUE")</f>
        <v>LOW VALUE</v>
      </c>
      <c r="AP16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43" s="1"/>
      <c r="AR1643" s="1"/>
    </row>
    <row r="1644" spans="1:44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50</v>
      </c>
      <c r="X1644">
        <v>2381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1556</v>
      </c>
      <c r="AJ1644">
        <v>1526</v>
      </c>
      <c r="AK1644">
        <v>0</v>
      </c>
      <c r="AL1644">
        <f t="shared" si="25"/>
        <v>1586</v>
      </c>
      <c r="AM1644">
        <f>IF(OR(Table1[[#This Row],[marital_Married]]=1,Table1[[#This Row],[marital_Together]]=1),1,0)</f>
        <v>1</v>
      </c>
      <c r="AN1644" t="str">
        <f>IF(Table1[[#This Row],[Income]]&gt;=70000,"HIGH INCOME","LOW INCOME")</f>
        <v>LOW INCOME</v>
      </c>
      <c r="AO1644" s="1" t="str">
        <f>IF(Table1[[#This Row],[MNT_TOTAL]]&gt;=900,"HIGH VALUE","LOW VALUE")</f>
        <v>HIGH VALUE</v>
      </c>
      <c r="AP16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44" s="1"/>
      <c r="AR1644" s="1"/>
    </row>
    <row r="1645" spans="1:44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53</v>
      </c>
      <c r="X1645">
        <v>2651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1502</v>
      </c>
      <c r="AJ1645">
        <v>1475</v>
      </c>
      <c r="AK1645">
        <v>1</v>
      </c>
      <c r="AL1645">
        <f t="shared" si="25"/>
        <v>1529</v>
      </c>
      <c r="AM1645">
        <f>IF(OR(Table1[[#This Row],[marital_Married]]=1,Table1[[#This Row],[marital_Together]]=1),1,0)</f>
        <v>1</v>
      </c>
      <c r="AN1645" t="str">
        <f>IF(Table1[[#This Row],[Income]]&gt;=70000,"HIGH INCOME","LOW INCOME")</f>
        <v>HIGH INCOME</v>
      </c>
      <c r="AO1645" s="1" t="str">
        <f>IF(Table1[[#This Row],[MNT_TOTAL]]&gt;=900,"HIGH VALUE","LOW VALUE")</f>
        <v>HIGH VALUE</v>
      </c>
      <c r="AP16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45" s="1"/>
      <c r="AR1645" s="1"/>
    </row>
    <row r="1646" spans="1:44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1</v>
      </c>
      <c r="W1646">
        <v>35</v>
      </c>
      <c r="X1646">
        <v>2493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255</v>
      </c>
      <c r="AJ1646">
        <v>245</v>
      </c>
      <c r="AK1646">
        <v>2</v>
      </c>
      <c r="AL1646">
        <f t="shared" si="25"/>
        <v>265</v>
      </c>
      <c r="AM1646">
        <f>IF(OR(Table1[[#This Row],[marital_Married]]=1,Table1[[#This Row],[marital_Together]]=1),1,0)</f>
        <v>0</v>
      </c>
      <c r="AN1646" t="str">
        <f>IF(Table1[[#This Row],[Income]]&gt;=70000,"HIGH INCOME","LOW INCOME")</f>
        <v>LOW INCOME</v>
      </c>
      <c r="AO1646" s="1" t="str">
        <f>IF(Table1[[#This Row],[MNT_TOTAL]]&gt;=900,"HIGH VALUE","LOW VALUE")</f>
        <v>LOW VALUE</v>
      </c>
      <c r="AP16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46" s="1"/>
      <c r="AR1646" s="1"/>
    </row>
    <row r="1647" spans="1:44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69</v>
      </c>
      <c r="X1647">
        <v>2456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1550</v>
      </c>
      <c r="AJ1647">
        <v>1497</v>
      </c>
      <c r="AK1647">
        <v>0</v>
      </c>
      <c r="AL1647">
        <f t="shared" si="25"/>
        <v>1603</v>
      </c>
      <c r="AM1647">
        <f>IF(OR(Table1[[#This Row],[marital_Married]]=1,Table1[[#This Row],[marital_Together]]=1),1,0)</f>
        <v>1</v>
      </c>
      <c r="AN1647" t="str">
        <f>IF(Table1[[#This Row],[Income]]&gt;=70000,"HIGH INCOME","LOW INCOME")</f>
        <v>HIGH INCOME</v>
      </c>
      <c r="AO1647" s="1" t="str">
        <f>IF(Table1[[#This Row],[MNT_TOTAL]]&gt;=900,"HIGH VALUE","LOW VALUE")</f>
        <v>HIGH VALUE</v>
      </c>
      <c r="AP16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47" s="1"/>
      <c r="AR1647" s="1"/>
    </row>
    <row r="1648" spans="1:44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1</v>
      </c>
      <c r="W1648">
        <v>34</v>
      </c>
      <c r="X1648">
        <v>2693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2051</v>
      </c>
      <c r="AJ1648">
        <v>2011</v>
      </c>
      <c r="AK1648">
        <v>1</v>
      </c>
      <c r="AL1648">
        <f t="shared" si="25"/>
        <v>2091</v>
      </c>
      <c r="AM1648">
        <f>IF(OR(Table1[[#This Row],[marital_Married]]=1,Table1[[#This Row],[marital_Together]]=1),1,0)</f>
        <v>1</v>
      </c>
      <c r="AN1648" t="str">
        <f>IF(Table1[[#This Row],[Income]]&gt;=70000,"HIGH INCOME","LOW INCOME")</f>
        <v>HIGH INCOME</v>
      </c>
      <c r="AO1648" s="1" t="str">
        <f>IF(Table1[[#This Row],[MNT_TOTAL]]&gt;=900,"HIGH VALUE","LOW VALUE")</f>
        <v>HIGH VALUE</v>
      </c>
      <c r="AP16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48" s="1"/>
      <c r="AR1648" s="1"/>
    </row>
    <row r="1649" spans="1:44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65</v>
      </c>
      <c r="X1649">
        <v>2550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874</v>
      </c>
      <c r="AJ1649">
        <v>767</v>
      </c>
      <c r="AK1649">
        <v>1</v>
      </c>
      <c r="AL1649">
        <f t="shared" si="25"/>
        <v>981</v>
      </c>
      <c r="AM1649">
        <f>IF(OR(Table1[[#This Row],[marital_Married]]=1,Table1[[#This Row],[marital_Together]]=1),1,0)</f>
        <v>1</v>
      </c>
      <c r="AN1649" t="str">
        <f>IF(Table1[[#This Row],[Income]]&gt;=70000,"HIGH INCOME","LOW INCOME")</f>
        <v>HIGH INCOME</v>
      </c>
      <c r="AO1649" s="1" t="str">
        <f>IF(Table1[[#This Row],[MNT_TOTAL]]&gt;=900,"HIGH VALUE","LOW VALUE")</f>
        <v>HIGH VALUE</v>
      </c>
      <c r="AP16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49" s="1"/>
      <c r="AR1649" s="1"/>
    </row>
    <row r="1650" spans="1:44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50</v>
      </c>
      <c r="X1650">
        <v>2743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1372</v>
      </c>
      <c r="AJ1650">
        <v>1211</v>
      </c>
      <c r="AK1650">
        <v>0</v>
      </c>
      <c r="AL1650">
        <f t="shared" si="25"/>
        <v>1533</v>
      </c>
      <c r="AM1650">
        <f>IF(OR(Table1[[#This Row],[marital_Married]]=1,Table1[[#This Row],[marital_Together]]=1),1,0)</f>
        <v>1</v>
      </c>
      <c r="AN1650" t="str">
        <f>IF(Table1[[#This Row],[Income]]&gt;=70000,"HIGH INCOME","LOW INCOME")</f>
        <v>LOW INCOME</v>
      </c>
      <c r="AO1650" s="1" t="str">
        <f>IF(Table1[[#This Row],[MNT_TOTAL]]&gt;=900,"HIGH VALUE","LOW VALUE")</f>
        <v>HIGH VALUE</v>
      </c>
      <c r="AP16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50" s="1"/>
      <c r="AR1650" s="1"/>
    </row>
    <row r="1651" spans="1:44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29</v>
      </c>
      <c r="X1651">
        <v>2737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73</v>
      </c>
      <c r="AJ1651">
        <v>64</v>
      </c>
      <c r="AK1651">
        <v>0</v>
      </c>
      <c r="AL1651">
        <f t="shared" si="25"/>
        <v>82</v>
      </c>
      <c r="AM1651">
        <f>IF(OR(Table1[[#This Row],[marital_Married]]=1,Table1[[#This Row],[marital_Together]]=1),1,0)</f>
        <v>1</v>
      </c>
      <c r="AN1651" t="str">
        <f>IF(Table1[[#This Row],[Income]]&gt;=70000,"HIGH INCOME","LOW INCOME")</f>
        <v>LOW INCOME</v>
      </c>
      <c r="AO1651" s="1" t="str">
        <f>IF(Table1[[#This Row],[MNT_TOTAL]]&gt;=900,"HIGH VALUE","LOW VALUE")</f>
        <v>LOW VALUE</v>
      </c>
      <c r="AP16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1" s="1"/>
      <c r="AR1651" s="1"/>
    </row>
    <row r="1652" spans="1:44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45</v>
      </c>
      <c r="X1652">
        <v>2620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229</v>
      </c>
      <c r="AJ1652">
        <v>214</v>
      </c>
      <c r="AK1652">
        <v>0</v>
      </c>
      <c r="AL1652">
        <f t="shared" si="25"/>
        <v>244</v>
      </c>
      <c r="AM1652">
        <f>IF(OR(Table1[[#This Row],[marital_Married]]=1,Table1[[#This Row],[marital_Together]]=1),1,0)</f>
        <v>1</v>
      </c>
      <c r="AN1652" t="str">
        <f>IF(Table1[[#This Row],[Income]]&gt;=70000,"HIGH INCOME","LOW INCOME")</f>
        <v>LOW INCOME</v>
      </c>
      <c r="AO1652" s="1" t="str">
        <f>IF(Table1[[#This Row],[MNT_TOTAL]]&gt;=900,"HIGH VALUE","LOW VALUE")</f>
        <v>LOW VALUE</v>
      </c>
      <c r="AP16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2" s="1"/>
      <c r="AR1652" s="1"/>
    </row>
    <row r="1653" spans="1:44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41</v>
      </c>
      <c r="X1653">
        <v>2526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26</v>
      </c>
      <c r="AJ1653">
        <v>16</v>
      </c>
      <c r="AK1653">
        <v>0</v>
      </c>
      <c r="AL1653">
        <f t="shared" si="25"/>
        <v>36</v>
      </c>
      <c r="AM1653">
        <f>IF(OR(Table1[[#This Row],[marital_Married]]=1,Table1[[#This Row],[marital_Together]]=1),1,0)</f>
        <v>0</v>
      </c>
      <c r="AN1653" t="str">
        <f>IF(Table1[[#This Row],[Income]]&gt;=70000,"HIGH INCOME","LOW INCOME")</f>
        <v>LOW INCOME</v>
      </c>
      <c r="AO1653" s="1" t="str">
        <f>IF(Table1[[#This Row],[MNT_TOTAL]]&gt;=900,"HIGH VALUE","LOW VALUE")</f>
        <v>LOW VALUE</v>
      </c>
      <c r="AP16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53" s="1"/>
      <c r="AR1653" s="1"/>
    </row>
    <row r="1654" spans="1:44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44</v>
      </c>
      <c r="X1654">
        <v>2661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381</v>
      </c>
      <c r="AJ1654">
        <v>358</v>
      </c>
      <c r="AK1654">
        <v>0</v>
      </c>
      <c r="AL1654">
        <f t="shared" si="25"/>
        <v>404</v>
      </c>
      <c r="AM1654">
        <f>IF(OR(Table1[[#This Row],[marital_Married]]=1,Table1[[#This Row],[marital_Together]]=1),1,0)</f>
        <v>1</v>
      </c>
      <c r="AN1654" t="str">
        <f>IF(Table1[[#This Row],[Income]]&gt;=70000,"HIGH INCOME","LOW INCOME")</f>
        <v>LOW INCOME</v>
      </c>
      <c r="AO1654" s="1" t="str">
        <f>IF(Table1[[#This Row],[MNT_TOTAL]]&gt;=900,"HIGH VALUE","LOW VALUE")</f>
        <v>LOW VALUE</v>
      </c>
      <c r="AP16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4" s="1"/>
      <c r="AR1654" s="1"/>
    </row>
    <row r="1655" spans="1:44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40</v>
      </c>
      <c r="X1655">
        <v>2316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66</v>
      </c>
      <c r="AJ1655">
        <v>61</v>
      </c>
      <c r="AK1655">
        <v>0</v>
      </c>
      <c r="AL1655">
        <f t="shared" si="25"/>
        <v>71</v>
      </c>
      <c r="AM1655">
        <f>IF(OR(Table1[[#This Row],[marital_Married]]=1,Table1[[#This Row],[marital_Together]]=1),1,0)</f>
        <v>1</v>
      </c>
      <c r="AN1655" t="str">
        <f>IF(Table1[[#This Row],[Income]]&gt;=70000,"HIGH INCOME","LOW INCOME")</f>
        <v>LOW INCOME</v>
      </c>
      <c r="AO1655" s="1" t="str">
        <f>IF(Table1[[#This Row],[MNT_TOTAL]]&gt;=900,"HIGH VALUE","LOW VALUE")</f>
        <v>LOW VALUE</v>
      </c>
      <c r="AP16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5" s="1"/>
      <c r="AR1655" s="1"/>
    </row>
    <row r="1656" spans="1:44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42</v>
      </c>
      <c r="X1656">
        <v>2423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1484</v>
      </c>
      <c r="AJ1656">
        <v>1396</v>
      </c>
      <c r="AK1656">
        <v>1</v>
      </c>
      <c r="AL1656">
        <f t="shared" si="25"/>
        <v>1572</v>
      </c>
      <c r="AM1656">
        <f>IF(OR(Table1[[#This Row],[marital_Married]]=1,Table1[[#This Row],[marital_Together]]=1),1,0)</f>
        <v>1</v>
      </c>
      <c r="AN1656" t="str">
        <f>IF(Table1[[#This Row],[Income]]&gt;=70000,"HIGH INCOME","LOW INCOME")</f>
        <v>HIGH INCOME</v>
      </c>
      <c r="AO1656" s="1" t="str">
        <f>IF(Table1[[#This Row],[MNT_TOTAL]]&gt;=900,"HIGH VALUE","LOW VALUE")</f>
        <v>HIGH VALUE</v>
      </c>
      <c r="AP16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56" s="1"/>
      <c r="AR1656" s="1"/>
    </row>
    <row r="1657" spans="1:44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49</v>
      </c>
      <c r="X1657">
        <v>2322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89</v>
      </c>
      <c r="AJ1657">
        <v>56</v>
      </c>
      <c r="AK1657">
        <v>0</v>
      </c>
      <c r="AL1657">
        <f t="shared" si="25"/>
        <v>122</v>
      </c>
      <c r="AM1657">
        <f>IF(OR(Table1[[#This Row],[marital_Married]]=1,Table1[[#This Row],[marital_Together]]=1),1,0)</f>
        <v>1</v>
      </c>
      <c r="AN1657" t="str">
        <f>IF(Table1[[#This Row],[Income]]&gt;=70000,"HIGH INCOME","LOW INCOME")</f>
        <v>LOW INCOME</v>
      </c>
      <c r="AO1657" s="1" t="str">
        <f>IF(Table1[[#This Row],[MNT_TOTAL]]&gt;=900,"HIGH VALUE","LOW VALUE")</f>
        <v>LOW VALUE</v>
      </c>
      <c r="AP16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7" s="1"/>
      <c r="AR1657" s="1"/>
    </row>
    <row r="1658" spans="1:44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65</v>
      </c>
      <c r="X1658">
        <v>2762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37</v>
      </c>
      <c r="AJ1658">
        <v>33</v>
      </c>
      <c r="AK1658">
        <v>0</v>
      </c>
      <c r="AL1658">
        <f t="shared" si="25"/>
        <v>41</v>
      </c>
      <c r="AM1658">
        <f>IF(OR(Table1[[#This Row],[marital_Married]]=1,Table1[[#This Row],[marital_Together]]=1),1,0)</f>
        <v>1</v>
      </c>
      <c r="AN1658" t="str">
        <f>IF(Table1[[#This Row],[Income]]&gt;=70000,"HIGH INCOME","LOW INCOME")</f>
        <v>LOW INCOME</v>
      </c>
      <c r="AO1658" s="1" t="str">
        <f>IF(Table1[[#This Row],[MNT_TOTAL]]&gt;=900,"HIGH VALUE","LOW VALUE")</f>
        <v>LOW VALUE</v>
      </c>
      <c r="AP16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8" s="1"/>
      <c r="AR1658" s="1"/>
    </row>
    <row r="1659" spans="1:44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37</v>
      </c>
      <c r="X1659">
        <v>2184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9</v>
      </c>
      <c r="AJ1659">
        <v>8</v>
      </c>
      <c r="AK1659">
        <v>0</v>
      </c>
      <c r="AL1659">
        <f t="shared" si="25"/>
        <v>10</v>
      </c>
      <c r="AM1659">
        <f>IF(OR(Table1[[#This Row],[marital_Married]]=1,Table1[[#This Row],[marital_Together]]=1),1,0)</f>
        <v>1</v>
      </c>
      <c r="AN1659" t="str">
        <f>IF(Table1[[#This Row],[Income]]&gt;=70000,"HIGH INCOME","LOW INCOME")</f>
        <v>LOW INCOME</v>
      </c>
      <c r="AO1659" s="1" t="str">
        <f>IF(Table1[[#This Row],[MNT_TOTAL]]&gt;=900,"HIGH VALUE","LOW VALUE")</f>
        <v>LOW VALUE</v>
      </c>
      <c r="AP16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59" s="1"/>
      <c r="AR1659" s="1"/>
    </row>
    <row r="1660" spans="1:44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68</v>
      </c>
      <c r="X1660">
        <v>2406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258</v>
      </c>
      <c r="AJ1660">
        <v>212</v>
      </c>
      <c r="AK1660">
        <v>0</v>
      </c>
      <c r="AL1660">
        <f t="shared" si="25"/>
        <v>304</v>
      </c>
      <c r="AM1660">
        <f>IF(OR(Table1[[#This Row],[marital_Married]]=1,Table1[[#This Row],[marital_Together]]=1),1,0)</f>
        <v>1</v>
      </c>
      <c r="AN1660" t="str">
        <f>IF(Table1[[#This Row],[Income]]&gt;=70000,"HIGH INCOME","LOW INCOME")</f>
        <v>LOW INCOME</v>
      </c>
      <c r="AO1660" s="1" t="str">
        <f>IF(Table1[[#This Row],[MNT_TOTAL]]&gt;=900,"HIGH VALUE","LOW VALUE")</f>
        <v>LOW VALUE</v>
      </c>
      <c r="AP16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60" s="1"/>
      <c r="AR1660" s="1"/>
    </row>
    <row r="1661" spans="1:44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51</v>
      </c>
      <c r="X1661">
        <v>2255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33</v>
      </c>
      <c r="AJ1661">
        <v>29</v>
      </c>
      <c r="AK1661">
        <v>0</v>
      </c>
      <c r="AL1661">
        <f t="shared" si="25"/>
        <v>37</v>
      </c>
      <c r="AM1661">
        <f>IF(OR(Table1[[#This Row],[marital_Married]]=1,Table1[[#This Row],[marital_Together]]=1),1,0)</f>
        <v>1</v>
      </c>
      <c r="AN1661" t="str">
        <f>IF(Table1[[#This Row],[Income]]&gt;=70000,"HIGH INCOME","LOW INCOME")</f>
        <v>LOW INCOME</v>
      </c>
      <c r="AO1661" s="1" t="str">
        <f>IF(Table1[[#This Row],[MNT_TOTAL]]&gt;=900,"HIGH VALUE","LOW VALUE")</f>
        <v>LOW VALUE</v>
      </c>
      <c r="AP16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61" s="1"/>
      <c r="AR1661" s="1"/>
    </row>
    <row r="1662" spans="1:44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40</v>
      </c>
      <c r="X1662">
        <v>2849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1671</v>
      </c>
      <c r="AJ1662">
        <v>1588</v>
      </c>
      <c r="AK1662">
        <v>0</v>
      </c>
      <c r="AL1662">
        <f t="shared" si="25"/>
        <v>1754</v>
      </c>
      <c r="AM1662">
        <f>IF(OR(Table1[[#This Row],[marital_Married]]=1,Table1[[#This Row],[marital_Together]]=1),1,0)</f>
        <v>0</v>
      </c>
      <c r="AN1662" t="str">
        <f>IF(Table1[[#This Row],[Income]]&gt;=70000,"HIGH INCOME","LOW INCOME")</f>
        <v>HIGH INCOME</v>
      </c>
      <c r="AO1662" s="1" t="str">
        <f>IF(Table1[[#This Row],[MNT_TOTAL]]&gt;=900,"HIGH VALUE","LOW VALUE")</f>
        <v>HIGH VALUE</v>
      </c>
      <c r="AP16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62" s="1"/>
      <c r="AR1662" s="1"/>
    </row>
    <row r="1663" spans="1:44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1</v>
      </c>
      <c r="W1663">
        <v>52</v>
      </c>
      <c r="X1663">
        <v>2500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769</v>
      </c>
      <c r="AJ1663">
        <v>723</v>
      </c>
      <c r="AK1663">
        <v>2</v>
      </c>
      <c r="AL1663">
        <f t="shared" si="25"/>
        <v>815</v>
      </c>
      <c r="AM1663">
        <f>IF(OR(Table1[[#This Row],[marital_Married]]=1,Table1[[#This Row],[marital_Together]]=1),1,0)</f>
        <v>1</v>
      </c>
      <c r="AN1663" t="str">
        <f>IF(Table1[[#This Row],[Income]]&gt;=70000,"HIGH INCOME","LOW INCOME")</f>
        <v>LOW INCOME</v>
      </c>
      <c r="AO1663" s="1" t="str">
        <f>IF(Table1[[#This Row],[MNT_TOTAL]]&gt;=900,"HIGH VALUE","LOW VALUE")</f>
        <v>LOW VALUE</v>
      </c>
      <c r="AP16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63" s="1"/>
      <c r="AR1663" s="1"/>
    </row>
    <row r="1664" spans="1:44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49</v>
      </c>
      <c r="X1664">
        <v>2700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921</v>
      </c>
      <c r="AJ1664">
        <v>841</v>
      </c>
      <c r="AK1664">
        <v>0</v>
      </c>
      <c r="AL1664">
        <f t="shared" si="25"/>
        <v>1001</v>
      </c>
      <c r="AM1664">
        <f>IF(OR(Table1[[#This Row],[marital_Married]]=1,Table1[[#This Row],[marital_Together]]=1),1,0)</f>
        <v>0</v>
      </c>
      <c r="AN1664" t="str">
        <f>IF(Table1[[#This Row],[Income]]&gt;=70000,"HIGH INCOME","LOW INCOME")</f>
        <v>LOW INCOME</v>
      </c>
      <c r="AO1664" s="1" t="str">
        <f>IF(Table1[[#This Row],[MNT_TOTAL]]&gt;=900,"HIGH VALUE","LOW VALUE")</f>
        <v>HIGH VALUE</v>
      </c>
      <c r="AP16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64" s="1"/>
      <c r="AR1664" s="1"/>
    </row>
    <row r="1665" spans="1:44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31</v>
      </c>
      <c r="X1665">
        <v>2504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1073</v>
      </c>
      <c r="AJ1665">
        <v>989</v>
      </c>
      <c r="AK1665">
        <v>0</v>
      </c>
      <c r="AL1665">
        <f t="shared" si="25"/>
        <v>1157</v>
      </c>
      <c r="AM1665">
        <f>IF(OR(Table1[[#This Row],[marital_Married]]=1,Table1[[#This Row],[marital_Together]]=1),1,0)</f>
        <v>0</v>
      </c>
      <c r="AN1665" t="str">
        <f>IF(Table1[[#This Row],[Income]]&gt;=70000,"HIGH INCOME","LOW INCOME")</f>
        <v>HIGH INCOME</v>
      </c>
      <c r="AO1665" s="1" t="str">
        <f>IF(Table1[[#This Row],[MNT_TOTAL]]&gt;=900,"HIGH VALUE","LOW VALUE")</f>
        <v>HIGH VALUE</v>
      </c>
      <c r="AP16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65" s="1"/>
      <c r="AR1665" s="1"/>
    </row>
    <row r="1666" spans="1:44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69</v>
      </c>
      <c r="X1666">
        <v>2504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588</v>
      </c>
      <c r="AJ1666">
        <v>488</v>
      </c>
      <c r="AK1666">
        <v>0</v>
      </c>
      <c r="AL1666">
        <f t="shared" ref="AL1666:AL1729" si="26">SUM(E1666:J1666)</f>
        <v>688</v>
      </c>
      <c r="AM1666">
        <f>IF(OR(Table1[[#This Row],[marital_Married]]=1,Table1[[#This Row],[marital_Together]]=1),1,0)</f>
        <v>0</v>
      </c>
      <c r="AN1666" t="str">
        <f>IF(Table1[[#This Row],[Income]]&gt;=70000,"HIGH INCOME","LOW INCOME")</f>
        <v>LOW INCOME</v>
      </c>
      <c r="AO1666" s="1" t="str">
        <f>IF(Table1[[#This Row],[MNT_TOTAL]]&gt;=900,"HIGH VALUE","LOW VALUE")</f>
        <v>LOW VALUE</v>
      </c>
      <c r="AP16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66" s="1"/>
      <c r="AR1666" s="1"/>
    </row>
    <row r="1667" spans="1:44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33</v>
      </c>
      <c r="X1667">
        <v>2517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1234</v>
      </c>
      <c r="AJ1667">
        <v>1149</v>
      </c>
      <c r="AK1667">
        <v>0</v>
      </c>
      <c r="AL1667">
        <f t="shared" si="26"/>
        <v>1319</v>
      </c>
      <c r="AM1667">
        <f>IF(OR(Table1[[#This Row],[marital_Married]]=1,Table1[[#This Row],[marital_Together]]=1),1,0)</f>
        <v>0</v>
      </c>
      <c r="AN1667" t="str">
        <f>IF(Table1[[#This Row],[Income]]&gt;=70000,"HIGH INCOME","LOW INCOME")</f>
        <v>LOW INCOME</v>
      </c>
      <c r="AO1667" s="1" t="str">
        <f>IF(Table1[[#This Row],[MNT_TOTAL]]&gt;=900,"HIGH VALUE","LOW VALUE")</f>
        <v>HIGH VALUE</v>
      </c>
      <c r="AP16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67" s="1"/>
      <c r="AR1667" s="1"/>
    </row>
    <row r="1668" spans="1:44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35</v>
      </c>
      <c r="X1668">
        <v>2654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14</v>
      </c>
      <c r="AJ1668">
        <v>7</v>
      </c>
      <c r="AK1668">
        <v>0</v>
      </c>
      <c r="AL1668">
        <f t="shared" si="26"/>
        <v>21</v>
      </c>
      <c r="AM1668">
        <f>IF(OR(Table1[[#This Row],[marital_Married]]=1,Table1[[#This Row],[marital_Together]]=1),1,0)</f>
        <v>1</v>
      </c>
      <c r="AN1668" t="str">
        <f>IF(Table1[[#This Row],[Income]]&gt;=70000,"HIGH INCOME","LOW INCOME")</f>
        <v>LOW INCOME</v>
      </c>
      <c r="AO1668" s="1" t="str">
        <f>IF(Table1[[#This Row],[MNT_TOTAL]]&gt;=900,"HIGH VALUE","LOW VALUE")</f>
        <v>LOW VALUE</v>
      </c>
      <c r="AP16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68" s="1"/>
      <c r="AR1668" s="1"/>
    </row>
    <row r="1669" spans="1:44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39</v>
      </c>
      <c r="X1669">
        <v>2830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19</v>
      </c>
      <c r="AJ1669">
        <v>7</v>
      </c>
      <c r="AK1669">
        <v>0</v>
      </c>
      <c r="AL1669">
        <f t="shared" si="26"/>
        <v>31</v>
      </c>
      <c r="AM1669">
        <f>IF(OR(Table1[[#This Row],[marital_Married]]=1,Table1[[#This Row],[marital_Together]]=1),1,0)</f>
        <v>0</v>
      </c>
      <c r="AN1669" t="str">
        <f>IF(Table1[[#This Row],[Income]]&gt;=70000,"HIGH INCOME","LOW INCOME")</f>
        <v>LOW INCOME</v>
      </c>
      <c r="AO1669" s="1" t="str">
        <f>IF(Table1[[#This Row],[MNT_TOTAL]]&gt;=900,"HIGH VALUE","LOW VALUE")</f>
        <v>LOW VALUE</v>
      </c>
      <c r="AP16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69" s="1"/>
      <c r="AR1669" s="1"/>
    </row>
    <row r="1670" spans="1:44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30</v>
      </c>
      <c r="X1670">
        <v>2704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53</v>
      </c>
      <c r="AJ1670">
        <v>39</v>
      </c>
      <c r="AK1670">
        <v>0</v>
      </c>
      <c r="AL1670">
        <f t="shared" si="26"/>
        <v>67</v>
      </c>
      <c r="AM1670">
        <f>IF(OR(Table1[[#This Row],[marital_Married]]=1,Table1[[#This Row],[marital_Together]]=1),1,0)</f>
        <v>1</v>
      </c>
      <c r="AN1670" t="str">
        <f>IF(Table1[[#This Row],[Income]]&gt;=70000,"HIGH INCOME","LOW INCOME")</f>
        <v>LOW INCOME</v>
      </c>
      <c r="AO1670" s="1" t="str">
        <f>IF(Table1[[#This Row],[MNT_TOTAL]]&gt;=900,"HIGH VALUE","LOW VALUE")</f>
        <v>LOW VALUE</v>
      </c>
      <c r="AP16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70" s="1"/>
      <c r="AR1670" s="1"/>
    </row>
    <row r="1671" spans="1:44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68</v>
      </c>
      <c r="X1671">
        <v>2561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682</v>
      </c>
      <c r="AJ1671">
        <v>656</v>
      </c>
      <c r="AK1671">
        <v>0</v>
      </c>
      <c r="AL1671">
        <f t="shared" si="26"/>
        <v>708</v>
      </c>
      <c r="AM1671">
        <f>IF(OR(Table1[[#This Row],[marital_Married]]=1,Table1[[#This Row],[marital_Together]]=1),1,0)</f>
        <v>0</v>
      </c>
      <c r="AN1671" t="str">
        <f>IF(Table1[[#This Row],[Income]]&gt;=70000,"HIGH INCOME","LOW INCOME")</f>
        <v>LOW INCOME</v>
      </c>
      <c r="AO1671" s="1" t="str">
        <f>IF(Table1[[#This Row],[MNT_TOTAL]]&gt;=900,"HIGH VALUE","LOW VALUE")</f>
        <v>LOW VALUE</v>
      </c>
      <c r="AP16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71" s="1"/>
      <c r="AR1671" s="1"/>
    </row>
    <row r="1672" spans="1:44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49</v>
      </c>
      <c r="X1672">
        <v>2807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18</v>
      </c>
      <c r="AJ1672">
        <v>11</v>
      </c>
      <c r="AK1672">
        <v>0</v>
      </c>
      <c r="AL1672">
        <f t="shared" si="26"/>
        <v>25</v>
      </c>
      <c r="AM1672">
        <f>IF(OR(Table1[[#This Row],[marital_Married]]=1,Table1[[#This Row],[marital_Together]]=1),1,0)</f>
        <v>1</v>
      </c>
      <c r="AN1672" t="str">
        <f>IF(Table1[[#This Row],[Income]]&gt;=70000,"HIGH INCOME","LOW INCOME")</f>
        <v>LOW INCOME</v>
      </c>
      <c r="AO1672" s="1" t="str">
        <f>IF(Table1[[#This Row],[MNT_TOTAL]]&gt;=900,"HIGH VALUE","LOW VALUE")</f>
        <v>LOW VALUE</v>
      </c>
      <c r="AP16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72" s="1"/>
      <c r="AR1672" s="1"/>
    </row>
    <row r="1673" spans="1:44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37</v>
      </c>
      <c r="X1673">
        <v>2646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726</v>
      </c>
      <c r="AJ1673">
        <v>706</v>
      </c>
      <c r="AK1673">
        <v>1</v>
      </c>
      <c r="AL1673">
        <f t="shared" si="26"/>
        <v>746</v>
      </c>
      <c r="AM1673">
        <f>IF(OR(Table1[[#This Row],[marital_Married]]=1,Table1[[#This Row],[marital_Together]]=1),1,0)</f>
        <v>1</v>
      </c>
      <c r="AN1673" t="str">
        <f>IF(Table1[[#This Row],[Income]]&gt;=70000,"HIGH INCOME","LOW INCOME")</f>
        <v>HIGH INCOME</v>
      </c>
      <c r="AO1673" s="1" t="str">
        <f>IF(Table1[[#This Row],[MNT_TOTAL]]&gt;=900,"HIGH VALUE","LOW VALUE")</f>
        <v>LOW VALUE</v>
      </c>
      <c r="AP16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73" s="1"/>
      <c r="AR1673" s="1"/>
    </row>
    <row r="1674" spans="1:44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63</v>
      </c>
      <c r="X1674">
        <v>2804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31</v>
      </c>
      <c r="AJ1674">
        <v>30</v>
      </c>
      <c r="AK1674">
        <v>0</v>
      </c>
      <c r="AL1674">
        <f t="shared" si="26"/>
        <v>32</v>
      </c>
      <c r="AM1674">
        <f>IF(OR(Table1[[#This Row],[marital_Married]]=1,Table1[[#This Row],[marital_Together]]=1),1,0)</f>
        <v>0</v>
      </c>
      <c r="AN1674" t="str">
        <f>IF(Table1[[#This Row],[Income]]&gt;=70000,"HIGH INCOME","LOW INCOME")</f>
        <v>LOW INCOME</v>
      </c>
      <c r="AO1674" s="1" t="str">
        <f>IF(Table1[[#This Row],[MNT_TOTAL]]&gt;=900,"HIGH VALUE","LOW VALUE")</f>
        <v>LOW VALUE</v>
      </c>
      <c r="AP16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74" s="1"/>
      <c r="AR1674" s="1"/>
    </row>
    <row r="1675" spans="1:44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69</v>
      </c>
      <c r="X1675">
        <v>2275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1588</v>
      </c>
      <c r="AJ1675">
        <v>1481</v>
      </c>
      <c r="AK1675">
        <v>0</v>
      </c>
      <c r="AL1675">
        <f t="shared" si="26"/>
        <v>1695</v>
      </c>
      <c r="AM1675">
        <f>IF(OR(Table1[[#This Row],[marital_Married]]=1,Table1[[#This Row],[marital_Together]]=1),1,0)</f>
        <v>0</v>
      </c>
      <c r="AN1675" t="str">
        <f>IF(Table1[[#This Row],[Income]]&gt;=70000,"HIGH INCOME","LOW INCOME")</f>
        <v>HIGH INCOME</v>
      </c>
      <c r="AO1675" s="1" t="str">
        <f>IF(Table1[[#This Row],[MNT_TOTAL]]&gt;=900,"HIGH VALUE","LOW VALUE")</f>
        <v>HIGH VALUE</v>
      </c>
      <c r="AP16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75" s="1"/>
      <c r="AR1675" s="1"/>
    </row>
    <row r="1676" spans="1:44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44</v>
      </c>
      <c r="X1676">
        <v>2826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900</v>
      </c>
      <c r="AJ1676">
        <v>720</v>
      </c>
      <c r="AK1676">
        <v>0</v>
      </c>
      <c r="AL1676">
        <f t="shared" si="26"/>
        <v>1080</v>
      </c>
      <c r="AM1676">
        <f>IF(OR(Table1[[#This Row],[marital_Married]]=1,Table1[[#This Row],[marital_Together]]=1),1,0)</f>
        <v>1</v>
      </c>
      <c r="AN1676" t="str">
        <f>IF(Table1[[#This Row],[Income]]&gt;=70000,"HIGH INCOME","LOW INCOME")</f>
        <v>LOW INCOME</v>
      </c>
      <c r="AO1676" s="1" t="str">
        <f>IF(Table1[[#This Row],[MNT_TOTAL]]&gt;=900,"HIGH VALUE","LOW VALUE")</f>
        <v>HIGH VALUE</v>
      </c>
      <c r="AP16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76" s="1"/>
      <c r="AR1676" s="1"/>
    </row>
    <row r="1677" spans="1:44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65</v>
      </c>
      <c r="X1677">
        <v>2250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70</v>
      </c>
      <c r="AJ1677">
        <v>68</v>
      </c>
      <c r="AK1677">
        <v>0</v>
      </c>
      <c r="AL1677">
        <f t="shared" si="26"/>
        <v>72</v>
      </c>
      <c r="AM1677">
        <f>IF(OR(Table1[[#This Row],[marital_Married]]=1,Table1[[#This Row],[marital_Together]]=1),1,0)</f>
        <v>1</v>
      </c>
      <c r="AN1677" t="str">
        <f>IF(Table1[[#This Row],[Income]]&gt;=70000,"HIGH INCOME","LOW INCOME")</f>
        <v>LOW INCOME</v>
      </c>
      <c r="AO1677" s="1" t="str">
        <f>IF(Table1[[#This Row],[MNT_TOTAL]]&gt;=900,"HIGH VALUE","LOW VALUE")</f>
        <v>LOW VALUE</v>
      </c>
      <c r="AP16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77" s="1"/>
      <c r="AR1677" s="1"/>
    </row>
    <row r="1678" spans="1:44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31</v>
      </c>
      <c r="X1678">
        <v>2380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53</v>
      </c>
      <c r="AJ1678">
        <v>49</v>
      </c>
      <c r="AK1678">
        <v>0</v>
      </c>
      <c r="AL1678">
        <f t="shared" si="26"/>
        <v>57</v>
      </c>
      <c r="AM1678">
        <f>IF(OR(Table1[[#This Row],[marital_Married]]=1,Table1[[#This Row],[marital_Together]]=1),1,0)</f>
        <v>0</v>
      </c>
      <c r="AN1678" t="str">
        <f>IF(Table1[[#This Row],[Income]]&gt;=70000,"HIGH INCOME","LOW INCOME")</f>
        <v>LOW INCOME</v>
      </c>
      <c r="AO1678" s="1" t="str">
        <f>IF(Table1[[#This Row],[MNT_TOTAL]]&gt;=900,"HIGH VALUE","LOW VALUE")</f>
        <v>LOW VALUE</v>
      </c>
      <c r="AP16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78" s="1"/>
      <c r="AR1678" s="1"/>
    </row>
    <row r="1679" spans="1:44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47</v>
      </c>
      <c r="X1679">
        <v>2259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647</v>
      </c>
      <c r="AJ1679">
        <v>634</v>
      </c>
      <c r="AK1679">
        <v>0</v>
      </c>
      <c r="AL1679">
        <f t="shared" si="26"/>
        <v>660</v>
      </c>
      <c r="AM1679">
        <f>IF(OR(Table1[[#This Row],[marital_Married]]=1,Table1[[#This Row],[marital_Together]]=1),1,0)</f>
        <v>1</v>
      </c>
      <c r="AN1679" t="str">
        <f>IF(Table1[[#This Row],[Income]]&gt;=70000,"HIGH INCOME","LOW INCOME")</f>
        <v>LOW INCOME</v>
      </c>
      <c r="AO1679" s="1" t="str">
        <f>IF(Table1[[#This Row],[MNT_TOTAL]]&gt;=900,"HIGH VALUE","LOW VALUE")</f>
        <v>LOW VALUE</v>
      </c>
      <c r="AP16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79" s="1"/>
      <c r="AR1679" s="1"/>
    </row>
    <row r="1680" spans="1:44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47</v>
      </c>
      <c r="X1680">
        <v>2794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61</v>
      </c>
      <c r="AJ1680">
        <v>19</v>
      </c>
      <c r="AK1680">
        <v>0</v>
      </c>
      <c r="AL1680">
        <f t="shared" si="26"/>
        <v>103</v>
      </c>
      <c r="AM1680">
        <f>IF(OR(Table1[[#This Row],[marital_Married]]=1,Table1[[#This Row],[marital_Together]]=1),1,0)</f>
        <v>1</v>
      </c>
      <c r="AN1680" t="str">
        <f>IF(Table1[[#This Row],[Income]]&gt;=70000,"HIGH INCOME","LOW INCOME")</f>
        <v>LOW INCOME</v>
      </c>
      <c r="AO1680" s="1" t="str">
        <f>IF(Table1[[#This Row],[MNT_TOTAL]]&gt;=900,"HIGH VALUE","LOW VALUE")</f>
        <v>LOW VALUE</v>
      </c>
      <c r="AP16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0" s="1"/>
      <c r="AR1680" s="1"/>
    </row>
    <row r="1681" spans="1:44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36</v>
      </c>
      <c r="X1681">
        <v>2438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150</v>
      </c>
      <c r="AJ1681">
        <v>147</v>
      </c>
      <c r="AK1681">
        <v>0</v>
      </c>
      <c r="AL1681">
        <f t="shared" si="26"/>
        <v>153</v>
      </c>
      <c r="AM1681">
        <f>IF(OR(Table1[[#This Row],[marital_Married]]=1,Table1[[#This Row],[marital_Together]]=1),1,0)</f>
        <v>1</v>
      </c>
      <c r="AN1681" t="str">
        <f>IF(Table1[[#This Row],[Income]]&gt;=70000,"HIGH INCOME","LOW INCOME")</f>
        <v>LOW INCOME</v>
      </c>
      <c r="AO1681" s="1" t="str">
        <f>IF(Table1[[#This Row],[MNT_TOTAL]]&gt;=900,"HIGH VALUE","LOW VALUE")</f>
        <v>LOW VALUE</v>
      </c>
      <c r="AP16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1" s="1"/>
      <c r="AR1681" s="1"/>
    </row>
    <row r="1682" spans="1:44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64</v>
      </c>
      <c r="X1682">
        <v>2806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1208</v>
      </c>
      <c r="AJ1682">
        <v>1196</v>
      </c>
      <c r="AK1682">
        <v>1</v>
      </c>
      <c r="AL1682">
        <f t="shared" si="26"/>
        <v>1220</v>
      </c>
      <c r="AM1682">
        <f>IF(OR(Table1[[#This Row],[marital_Married]]=1,Table1[[#This Row],[marital_Together]]=1),1,0)</f>
        <v>1</v>
      </c>
      <c r="AN1682" t="str">
        <f>IF(Table1[[#This Row],[Income]]&gt;=70000,"HIGH INCOME","LOW INCOME")</f>
        <v>LOW INCOME</v>
      </c>
      <c r="AO1682" s="1" t="str">
        <f>IF(Table1[[#This Row],[MNT_TOTAL]]&gt;=900,"HIGH VALUE","LOW VALUE")</f>
        <v>HIGH VALUE</v>
      </c>
      <c r="AP16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82" s="1"/>
      <c r="AR1682" s="1"/>
    </row>
    <row r="1683" spans="1:44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55</v>
      </c>
      <c r="X1683">
        <v>2841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259</v>
      </c>
      <c r="AJ1683">
        <v>239</v>
      </c>
      <c r="AK1683">
        <v>0</v>
      </c>
      <c r="AL1683">
        <f t="shared" si="26"/>
        <v>279</v>
      </c>
      <c r="AM1683">
        <f>IF(OR(Table1[[#This Row],[marital_Married]]=1,Table1[[#This Row],[marital_Together]]=1),1,0)</f>
        <v>1</v>
      </c>
      <c r="AN1683" t="str">
        <f>IF(Table1[[#This Row],[Income]]&gt;=70000,"HIGH INCOME","LOW INCOME")</f>
        <v>LOW INCOME</v>
      </c>
      <c r="AO1683" s="1" t="str">
        <f>IF(Table1[[#This Row],[MNT_TOTAL]]&gt;=900,"HIGH VALUE","LOW VALUE")</f>
        <v>LOW VALUE</v>
      </c>
      <c r="AP16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3" s="1"/>
      <c r="AR1683" s="1"/>
    </row>
    <row r="1684" spans="1:44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42</v>
      </c>
      <c r="X1684">
        <v>2337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693</v>
      </c>
      <c r="AJ1684">
        <v>641</v>
      </c>
      <c r="AK1684">
        <v>0</v>
      </c>
      <c r="AL1684">
        <f t="shared" si="26"/>
        <v>745</v>
      </c>
      <c r="AM1684">
        <f>IF(OR(Table1[[#This Row],[marital_Married]]=1,Table1[[#This Row],[marital_Together]]=1),1,0)</f>
        <v>1</v>
      </c>
      <c r="AN1684" t="str">
        <f>IF(Table1[[#This Row],[Income]]&gt;=70000,"HIGH INCOME","LOW INCOME")</f>
        <v>LOW INCOME</v>
      </c>
      <c r="AO1684" s="1" t="str">
        <f>IF(Table1[[#This Row],[MNT_TOTAL]]&gt;=900,"HIGH VALUE","LOW VALUE")</f>
        <v>LOW VALUE</v>
      </c>
      <c r="AP16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4" s="1"/>
      <c r="AR1684" s="1"/>
    </row>
    <row r="1685" spans="1:44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47</v>
      </c>
      <c r="X1685">
        <v>2279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257</v>
      </c>
      <c r="AJ1685">
        <v>250</v>
      </c>
      <c r="AK1685">
        <v>0</v>
      </c>
      <c r="AL1685">
        <f t="shared" si="26"/>
        <v>264</v>
      </c>
      <c r="AM1685">
        <f>IF(OR(Table1[[#This Row],[marital_Married]]=1,Table1[[#This Row],[marital_Together]]=1),1,0)</f>
        <v>1</v>
      </c>
      <c r="AN1685" t="str">
        <f>IF(Table1[[#This Row],[Income]]&gt;=70000,"HIGH INCOME","LOW INCOME")</f>
        <v>LOW INCOME</v>
      </c>
      <c r="AO1685" s="1" t="str">
        <f>IF(Table1[[#This Row],[MNT_TOTAL]]&gt;=900,"HIGH VALUE","LOW VALUE")</f>
        <v>LOW VALUE</v>
      </c>
      <c r="AP16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5" s="1"/>
      <c r="AR1685" s="1"/>
    </row>
    <row r="1686" spans="1:44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1</v>
      </c>
      <c r="W1686">
        <v>34</v>
      </c>
      <c r="X1686">
        <v>2171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2056</v>
      </c>
      <c r="AJ1686">
        <v>1955</v>
      </c>
      <c r="AK1686">
        <v>4</v>
      </c>
      <c r="AL1686">
        <f t="shared" si="26"/>
        <v>2157</v>
      </c>
      <c r="AM1686">
        <f>IF(OR(Table1[[#This Row],[marital_Married]]=1,Table1[[#This Row],[marital_Together]]=1),1,0)</f>
        <v>1</v>
      </c>
      <c r="AN1686" t="str">
        <f>IF(Table1[[#This Row],[Income]]&gt;=70000,"HIGH INCOME","LOW INCOME")</f>
        <v>HIGH INCOME</v>
      </c>
      <c r="AO1686" s="1" t="str">
        <f>IF(Table1[[#This Row],[MNT_TOTAL]]&gt;=900,"HIGH VALUE","LOW VALUE")</f>
        <v>HIGH VALUE</v>
      </c>
      <c r="AP16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86" s="1"/>
      <c r="AR1686" s="1"/>
    </row>
    <row r="1687" spans="1:44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1</v>
      </c>
      <c r="W1687">
        <v>61</v>
      </c>
      <c r="X1687">
        <v>2464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1468</v>
      </c>
      <c r="AJ1687">
        <v>1410</v>
      </c>
      <c r="AK1687">
        <v>3</v>
      </c>
      <c r="AL1687">
        <f t="shared" si="26"/>
        <v>1526</v>
      </c>
      <c r="AM1687">
        <f>IF(OR(Table1[[#This Row],[marital_Married]]=1,Table1[[#This Row],[marital_Together]]=1),1,0)</f>
        <v>1</v>
      </c>
      <c r="AN1687" t="str">
        <f>IF(Table1[[#This Row],[Income]]&gt;=70000,"HIGH INCOME","LOW INCOME")</f>
        <v>HIGH INCOME</v>
      </c>
      <c r="AO1687" s="1" t="str">
        <f>IF(Table1[[#This Row],[MNT_TOTAL]]&gt;=900,"HIGH VALUE","LOW VALUE")</f>
        <v>HIGH VALUE</v>
      </c>
      <c r="AP16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87" s="1"/>
      <c r="AR1687" s="1"/>
    </row>
    <row r="1688" spans="1:44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42</v>
      </c>
      <c r="X1688">
        <v>2605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62</v>
      </c>
      <c r="AJ1688">
        <v>55</v>
      </c>
      <c r="AK1688">
        <v>0</v>
      </c>
      <c r="AL1688">
        <f t="shared" si="26"/>
        <v>69</v>
      </c>
      <c r="AM1688">
        <f>IF(OR(Table1[[#This Row],[marital_Married]]=1,Table1[[#This Row],[marital_Together]]=1),1,0)</f>
        <v>1</v>
      </c>
      <c r="AN1688" t="str">
        <f>IF(Table1[[#This Row],[Income]]&gt;=70000,"HIGH INCOME","LOW INCOME")</f>
        <v>LOW INCOME</v>
      </c>
      <c r="AO1688" s="1" t="str">
        <f>IF(Table1[[#This Row],[MNT_TOTAL]]&gt;=900,"HIGH VALUE","LOW VALUE")</f>
        <v>LOW VALUE</v>
      </c>
      <c r="AP16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88" s="1"/>
      <c r="AR1688" s="1"/>
    </row>
    <row r="1689" spans="1:44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2755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1571</v>
      </c>
      <c r="AJ1689">
        <v>1545</v>
      </c>
      <c r="AK1689">
        <v>1</v>
      </c>
      <c r="AL1689">
        <f t="shared" si="26"/>
        <v>1597</v>
      </c>
      <c r="AM1689">
        <f>IF(OR(Table1[[#This Row],[marital_Married]]=1,Table1[[#This Row],[marital_Together]]=1),1,0)</f>
        <v>1</v>
      </c>
      <c r="AN1689" t="str">
        <f>IF(Table1[[#This Row],[Income]]&gt;=70000,"HIGH INCOME","LOW INCOME")</f>
        <v>HIGH INCOME</v>
      </c>
      <c r="AO1689" s="1" t="str">
        <f>IF(Table1[[#This Row],[MNT_TOTAL]]&gt;=900,"HIGH VALUE","LOW VALUE")</f>
        <v>HIGH VALUE</v>
      </c>
      <c r="AP16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89" s="1"/>
      <c r="AR1689" s="1"/>
    </row>
    <row r="1690" spans="1:44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28</v>
      </c>
      <c r="X1690">
        <v>2190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44</v>
      </c>
      <c r="AJ1690">
        <v>24</v>
      </c>
      <c r="AK1690">
        <v>0</v>
      </c>
      <c r="AL1690">
        <f t="shared" si="26"/>
        <v>64</v>
      </c>
      <c r="AM1690">
        <f>IF(OR(Table1[[#This Row],[marital_Married]]=1,Table1[[#This Row],[marital_Together]]=1),1,0)</f>
        <v>0</v>
      </c>
      <c r="AN1690" t="str">
        <f>IF(Table1[[#This Row],[Income]]&gt;=70000,"HIGH INCOME","LOW INCOME")</f>
        <v>LOW INCOME</v>
      </c>
      <c r="AO1690" s="1" t="str">
        <f>IF(Table1[[#This Row],[MNT_TOTAL]]&gt;=900,"HIGH VALUE","LOW VALUE")</f>
        <v>LOW VALUE</v>
      </c>
      <c r="AP16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90" s="1"/>
      <c r="AR1690" s="1"/>
    </row>
    <row r="1691" spans="1:44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36</v>
      </c>
      <c r="X1691">
        <v>2752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310</v>
      </c>
      <c r="AJ1691">
        <v>123</v>
      </c>
      <c r="AK1691">
        <v>0</v>
      </c>
      <c r="AL1691">
        <f t="shared" si="26"/>
        <v>497</v>
      </c>
      <c r="AM1691">
        <f>IF(OR(Table1[[#This Row],[marital_Married]]=1,Table1[[#This Row],[marital_Together]]=1),1,0)</f>
        <v>1</v>
      </c>
      <c r="AN1691" t="str">
        <f>IF(Table1[[#This Row],[Income]]&gt;=70000,"HIGH INCOME","LOW INCOME")</f>
        <v>LOW INCOME</v>
      </c>
      <c r="AO1691" s="1" t="str">
        <f>IF(Table1[[#This Row],[MNT_TOTAL]]&gt;=900,"HIGH VALUE","LOW VALUE")</f>
        <v>LOW VALUE</v>
      </c>
      <c r="AP16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91" s="1"/>
      <c r="AR1691" s="1"/>
    </row>
    <row r="1692" spans="1:44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64</v>
      </c>
      <c r="X1692">
        <v>2564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1027</v>
      </c>
      <c r="AJ1692">
        <v>987</v>
      </c>
      <c r="AK1692">
        <v>0</v>
      </c>
      <c r="AL1692">
        <f t="shared" si="26"/>
        <v>1067</v>
      </c>
      <c r="AM1692">
        <f>IF(OR(Table1[[#This Row],[marital_Married]]=1,Table1[[#This Row],[marital_Together]]=1),1,0)</f>
        <v>0</v>
      </c>
      <c r="AN1692" t="str">
        <f>IF(Table1[[#This Row],[Income]]&gt;=70000,"HIGH INCOME","LOW INCOME")</f>
        <v>LOW INCOME</v>
      </c>
      <c r="AO1692" s="1" t="str">
        <f>IF(Table1[[#This Row],[MNT_TOTAL]]&gt;=900,"HIGH VALUE","LOW VALUE")</f>
        <v>HIGH VALUE</v>
      </c>
      <c r="AP16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692" s="1"/>
      <c r="AR1692" s="1"/>
    </row>
    <row r="1693" spans="1:44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43</v>
      </c>
      <c r="X1693">
        <v>2211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25</v>
      </c>
      <c r="AJ1693">
        <v>19</v>
      </c>
      <c r="AK1693">
        <v>0</v>
      </c>
      <c r="AL1693">
        <f t="shared" si="26"/>
        <v>31</v>
      </c>
      <c r="AM1693">
        <f>IF(OR(Table1[[#This Row],[marital_Married]]=1,Table1[[#This Row],[marital_Together]]=1),1,0)</f>
        <v>1</v>
      </c>
      <c r="AN1693" t="str">
        <f>IF(Table1[[#This Row],[Income]]&gt;=70000,"HIGH INCOME","LOW INCOME")</f>
        <v>LOW INCOME</v>
      </c>
      <c r="AO1693" s="1" t="str">
        <f>IF(Table1[[#This Row],[MNT_TOTAL]]&gt;=900,"HIGH VALUE","LOW VALUE")</f>
        <v>LOW VALUE</v>
      </c>
      <c r="AP16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93" s="1"/>
      <c r="AR1693" s="1"/>
    </row>
    <row r="1694" spans="1:44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46</v>
      </c>
      <c r="X1694">
        <v>2456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182</v>
      </c>
      <c r="AJ1694">
        <v>153</v>
      </c>
      <c r="AK1694">
        <v>0</v>
      </c>
      <c r="AL1694">
        <f t="shared" si="26"/>
        <v>211</v>
      </c>
      <c r="AM1694">
        <f>IF(OR(Table1[[#This Row],[marital_Married]]=1,Table1[[#This Row],[marital_Together]]=1),1,0)</f>
        <v>1</v>
      </c>
      <c r="AN1694" t="str">
        <f>IF(Table1[[#This Row],[Income]]&gt;=70000,"HIGH INCOME","LOW INCOME")</f>
        <v>LOW INCOME</v>
      </c>
      <c r="AO1694" s="1" t="str">
        <f>IF(Table1[[#This Row],[MNT_TOTAL]]&gt;=900,"HIGH VALUE","LOW VALUE")</f>
        <v>LOW VALUE</v>
      </c>
      <c r="AP16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94" s="1"/>
      <c r="AR1694" s="1"/>
    </row>
    <row r="1695" spans="1:44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44</v>
      </c>
      <c r="X1695">
        <v>2740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770</v>
      </c>
      <c r="AJ1695">
        <v>663</v>
      </c>
      <c r="AK1695">
        <v>1</v>
      </c>
      <c r="AL1695">
        <f t="shared" si="26"/>
        <v>877</v>
      </c>
      <c r="AM1695">
        <f>IF(OR(Table1[[#This Row],[marital_Married]]=1,Table1[[#This Row],[marital_Together]]=1),1,0)</f>
        <v>1</v>
      </c>
      <c r="AN1695" t="str">
        <f>IF(Table1[[#This Row],[Income]]&gt;=70000,"HIGH INCOME","LOW INCOME")</f>
        <v>LOW INCOME</v>
      </c>
      <c r="AO1695" s="1" t="str">
        <f>IF(Table1[[#This Row],[MNT_TOTAL]]&gt;=900,"HIGH VALUE","LOW VALUE")</f>
        <v>LOW VALUE</v>
      </c>
      <c r="AP16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95" s="1"/>
      <c r="AR1695" s="1"/>
    </row>
    <row r="1696" spans="1:44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41</v>
      </c>
      <c r="X1696">
        <v>2691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9</v>
      </c>
      <c r="AJ1696">
        <v>7</v>
      </c>
      <c r="AK1696">
        <v>0</v>
      </c>
      <c r="AL1696">
        <f t="shared" si="26"/>
        <v>11</v>
      </c>
      <c r="AM1696">
        <f>IF(OR(Table1[[#This Row],[marital_Married]]=1,Table1[[#This Row],[marital_Together]]=1),1,0)</f>
        <v>1</v>
      </c>
      <c r="AN1696" t="str">
        <f>IF(Table1[[#This Row],[Income]]&gt;=70000,"HIGH INCOME","LOW INCOME")</f>
        <v>LOW INCOME</v>
      </c>
      <c r="AO1696" s="1" t="str">
        <f>IF(Table1[[#This Row],[MNT_TOTAL]]&gt;=900,"HIGH VALUE","LOW VALUE")</f>
        <v>LOW VALUE</v>
      </c>
      <c r="AP16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696" s="1"/>
      <c r="AR1696" s="1"/>
    </row>
    <row r="1697" spans="1:44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1</v>
      </c>
      <c r="W1697">
        <v>37</v>
      </c>
      <c r="X1697">
        <v>2583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2012</v>
      </c>
      <c r="AJ1697">
        <v>1990</v>
      </c>
      <c r="AK1697">
        <v>3</v>
      </c>
      <c r="AL1697">
        <f t="shared" si="26"/>
        <v>2034</v>
      </c>
      <c r="AM1697">
        <f>IF(OR(Table1[[#This Row],[marital_Married]]=1,Table1[[#This Row],[marital_Together]]=1),1,0)</f>
        <v>1</v>
      </c>
      <c r="AN1697" t="str">
        <f>IF(Table1[[#This Row],[Income]]&gt;=70000,"HIGH INCOME","LOW INCOME")</f>
        <v>HIGH INCOME</v>
      </c>
      <c r="AO1697" s="1" t="str">
        <f>IF(Table1[[#This Row],[MNT_TOTAL]]&gt;=900,"HIGH VALUE","LOW VALUE")</f>
        <v>HIGH VALUE</v>
      </c>
      <c r="AP16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697" s="1"/>
      <c r="AR1697" s="1"/>
    </row>
    <row r="1698" spans="1:44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1</v>
      </c>
      <c r="W1698">
        <v>29</v>
      </c>
      <c r="X1698">
        <v>2356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1880</v>
      </c>
      <c r="AJ1698">
        <v>1769</v>
      </c>
      <c r="AK1698">
        <v>3</v>
      </c>
      <c r="AL1698">
        <f t="shared" si="26"/>
        <v>1991</v>
      </c>
      <c r="AM1698">
        <f>IF(OR(Table1[[#This Row],[marital_Married]]=1,Table1[[#This Row],[marital_Together]]=1),1,0)</f>
        <v>0</v>
      </c>
      <c r="AN1698" t="str">
        <f>IF(Table1[[#This Row],[Income]]&gt;=70000,"HIGH INCOME","LOW INCOME")</f>
        <v>HIGH INCOME</v>
      </c>
      <c r="AO1698" s="1" t="str">
        <f>IF(Table1[[#This Row],[MNT_TOTAL]]&gt;=900,"HIGH VALUE","LOW VALUE")</f>
        <v>HIGH VALUE</v>
      </c>
      <c r="AP16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98" s="1"/>
      <c r="AR1698" s="1"/>
    </row>
    <row r="1699" spans="1:44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58</v>
      </c>
      <c r="X1699">
        <v>2247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1607</v>
      </c>
      <c r="AJ1699">
        <v>1528</v>
      </c>
      <c r="AK1699">
        <v>1</v>
      </c>
      <c r="AL1699">
        <f t="shared" si="26"/>
        <v>1686</v>
      </c>
      <c r="AM1699">
        <f>IF(OR(Table1[[#This Row],[marital_Married]]=1,Table1[[#This Row],[marital_Together]]=1),1,0)</f>
        <v>0</v>
      </c>
      <c r="AN1699" t="str">
        <f>IF(Table1[[#This Row],[Income]]&gt;=70000,"HIGH INCOME","LOW INCOME")</f>
        <v>HIGH INCOME</v>
      </c>
      <c r="AO1699" s="1" t="str">
        <f>IF(Table1[[#This Row],[MNT_TOTAL]]&gt;=900,"HIGH VALUE","LOW VALUE")</f>
        <v>HIGH VALUE</v>
      </c>
      <c r="AP16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699" s="1"/>
      <c r="AR1699" s="1"/>
    </row>
    <row r="1700" spans="1:44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38</v>
      </c>
      <c r="X1700">
        <v>2311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306</v>
      </c>
      <c r="AJ1700">
        <v>288</v>
      </c>
      <c r="AK1700">
        <v>0</v>
      </c>
      <c r="AL1700">
        <f t="shared" si="26"/>
        <v>324</v>
      </c>
      <c r="AM1700">
        <f>IF(OR(Table1[[#This Row],[marital_Married]]=1,Table1[[#This Row],[marital_Together]]=1),1,0)</f>
        <v>0</v>
      </c>
      <c r="AN1700" t="str">
        <f>IF(Table1[[#This Row],[Income]]&gt;=70000,"HIGH INCOME","LOW INCOME")</f>
        <v>LOW INCOME</v>
      </c>
      <c r="AO1700" s="1" t="str">
        <f>IF(Table1[[#This Row],[MNT_TOTAL]]&gt;=900,"HIGH VALUE","LOW VALUE")</f>
        <v>LOW VALUE</v>
      </c>
      <c r="AP17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00" s="1"/>
      <c r="AR1700" s="1"/>
    </row>
    <row r="1701" spans="1:44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41</v>
      </c>
      <c r="X1701">
        <v>2231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62</v>
      </c>
      <c r="AJ1701">
        <v>55</v>
      </c>
      <c r="AK1701">
        <v>0</v>
      </c>
      <c r="AL1701">
        <f t="shared" si="26"/>
        <v>69</v>
      </c>
      <c r="AM1701">
        <f>IF(OR(Table1[[#This Row],[marital_Married]]=1,Table1[[#This Row],[marital_Together]]=1),1,0)</f>
        <v>0</v>
      </c>
      <c r="AN1701" t="str">
        <f>IF(Table1[[#This Row],[Income]]&gt;=70000,"HIGH INCOME","LOW INCOME")</f>
        <v>LOW INCOME</v>
      </c>
      <c r="AO1701" s="1" t="str">
        <f>IF(Table1[[#This Row],[MNT_TOTAL]]&gt;=900,"HIGH VALUE","LOW VALUE")</f>
        <v>LOW VALUE</v>
      </c>
      <c r="AP17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01" s="1"/>
      <c r="AR1701" s="1"/>
    </row>
    <row r="1702" spans="1:44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65</v>
      </c>
      <c r="X1702">
        <v>2767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252</v>
      </c>
      <c r="AJ1702">
        <v>252</v>
      </c>
      <c r="AK1702">
        <v>0</v>
      </c>
      <c r="AL1702">
        <f t="shared" si="26"/>
        <v>252</v>
      </c>
      <c r="AM1702">
        <f>IF(OR(Table1[[#This Row],[marital_Married]]=1,Table1[[#This Row],[marital_Together]]=1),1,0)</f>
        <v>1</v>
      </c>
      <c r="AN1702" t="str">
        <f>IF(Table1[[#This Row],[Income]]&gt;=70000,"HIGH INCOME","LOW INCOME")</f>
        <v>LOW INCOME</v>
      </c>
      <c r="AO1702" s="1" t="str">
        <f>IF(Table1[[#This Row],[MNT_TOTAL]]&gt;=900,"HIGH VALUE","LOW VALUE")</f>
        <v>LOW VALUE</v>
      </c>
      <c r="AP17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02" s="1"/>
      <c r="AR1702" s="1"/>
    </row>
    <row r="1703" spans="1:44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55</v>
      </c>
      <c r="X1703">
        <v>2697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34</v>
      </c>
      <c r="AJ1703">
        <v>14</v>
      </c>
      <c r="AK1703">
        <v>0</v>
      </c>
      <c r="AL1703">
        <f t="shared" si="26"/>
        <v>54</v>
      </c>
      <c r="AM1703">
        <f>IF(OR(Table1[[#This Row],[marital_Married]]=1,Table1[[#This Row],[marital_Together]]=1),1,0)</f>
        <v>0</v>
      </c>
      <c r="AN1703" t="str">
        <f>IF(Table1[[#This Row],[Income]]&gt;=70000,"HIGH INCOME","LOW INCOME")</f>
        <v>LOW INCOME</v>
      </c>
      <c r="AO1703" s="1" t="str">
        <f>IF(Table1[[#This Row],[MNT_TOTAL]]&gt;=900,"HIGH VALUE","LOW VALUE")</f>
        <v>LOW VALUE</v>
      </c>
      <c r="AP17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03" s="1"/>
      <c r="AR1703" s="1"/>
    </row>
    <row r="1704" spans="1:44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59</v>
      </c>
      <c r="X1704">
        <v>2637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910</v>
      </c>
      <c r="AJ1704">
        <v>856</v>
      </c>
      <c r="AK1704">
        <v>0</v>
      </c>
      <c r="AL1704">
        <f t="shared" si="26"/>
        <v>964</v>
      </c>
      <c r="AM1704">
        <f>IF(OR(Table1[[#This Row],[marital_Married]]=1,Table1[[#This Row],[marital_Together]]=1),1,0)</f>
        <v>1</v>
      </c>
      <c r="AN1704" t="str">
        <f>IF(Table1[[#This Row],[Income]]&gt;=70000,"HIGH INCOME","LOW INCOME")</f>
        <v>HIGH INCOME</v>
      </c>
      <c r="AO1704" s="1" t="str">
        <f>IF(Table1[[#This Row],[MNT_TOTAL]]&gt;=900,"HIGH VALUE","LOW VALUE")</f>
        <v>HIGH VALUE</v>
      </c>
      <c r="AP17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04" s="1"/>
      <c r="AR1704" s="1"/>
    </row>
    <row r="1705" spans="1:44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69</v>
      </c>
      <c r="X1705">
        <v>2656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1132</v>
      </c>
      <c r="AJ1705">
        <v>937</v>
      </c>
      <c r="AK1705">
        <v>0</v>
      </c>
      <c r="AL1705">
        <f t="shared" si="26"/>
        <v>1327</v>
      </c>
      <c r="AM1705">
        <f>IF(OR(Table1[[#This Row],[marital_Married]]=1,Table1[[#This Row],[marital_Together]]=1),1,0)</f>
        <v>1</v>
      </c>
      <c r="AN1705" t="str">
        <f>IF(Table1[[#This Row],[Income]]&gt;=70000,"HIGH INCOME","LOW INCOME")</f>
        <v>HIGH INCOME</v>
      </c>
      <c r="AO1705" s="1" t="str">
        <f>IF(Table1[[#This Row],[MNT_TOTAL]]&gt;=900,"HIGH VALUE","LOW VALUE")</f>
        <v>HIGH VALUE</v>
      </c>
      <c r="AP17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05" s="1"/>
      <c r="AR1705" s="1"/>
    </row>
    <row r="1706" spans="1:44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56</v>
      </c>
      <c r="X1706">
        <v>2257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62</v>
      </c>
      <c r="AJ1706">
        <v>56</v>
      </c>
      <c r="AK1706">
        <v>0</v>
      </c>
      <c r="AL1706">
        <f t="shared" si="26"/>
        <v>68</v>
      </c>
      <c r="AM1706">
        <f>IF(OR(Table1[[#This Row],[marital_Married]]=1,Table1[[#This Row],[marital_Together]]=1),1,0)</f>
        <v>1</v>
      </c>
      <c r="AN1706" t="str">
        <f>IF(Table1[[#This Row],[Income]]&gt;=70000,"HIGH INCOME","LOW INCOME")</f>
        <v>LOW INCOME</v>
      </c>
      <c r="AO1706" s="1" t="str">
        <f>IF(Table1[[#This Row],[MNT_TOTAL]]&gt;=900,"HIGH VALUE","LOW VALUE")</f>
        <v>LOW VALUE</v>
      </c>
      <c r="AP17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06" s="1"/>
      <c r="AR1706" s="1"/>
    </row>
    <row r="1707" spans="1:44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61</v>
      </c>
      <c r="X1707">
        <v>2707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41</v>
      </c>
      <c r="AJ1707">
        <v>22</v>
      </c>
      <c r="AK1707">
        <v>0</v>
      </c>
      <c r="AL1707">
        <f t="shared" si="26"/>
        <v>60</v>
      </c>
      <c r="AM1707">
        <f>IF(OR(Table1[[#This Row],[marital_Married]]=1,Table1[[#This Row],[marital_Together]]=1),1,0)</f>
        <v>1</v>
      </c>
      <c r="AN1707" t="str">
        <f>IF(Table1[[#This Row],[Income]]&gt;=70000,"HIGH INCOME","LOW INCOME")</f>
        <v>LOW INCOME</v>
      </c>
      <c r="AO1707" s="1" t="str">
        <f>IF(Table1[[#This Row],[MNT_TOTAL]]&gt;=900,"HIGH VALUE","LOW VALUE")</f>
        <v>LOW VALUE</v>
      </c>
      <c r="AP17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07" s="1"/>
      <c r="AR1707" s="1"/>
    </row>
    <row r="1708" spans="1:44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65</v>
      </c>
      <c r="X1708">
        <v>2587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30</v>
      </c>
      <c r="AJ1708">
        <v>5</v>
      </c>
      <c r="AK1708">
        <v>1</v>
      </c>
      <c r="AL1708">
        <f t="shared" si="26"/>
        <v>55</v>
      </c>
      <c r="AM1708">
        <f>IF(OR(Table1[[#This Row],[marital_Married]]=1,Table1[[#This Row],[marital_Together]]=1),1,0)</f>
        <v>0</v>
      </c>
      <c r="AN1708" t="str">
        <f>IF(Table1[[#This Row],[Income]]&gt;=70000,"HIGH INCOME","LOW INCOME")</f>
        <v>LOW INCOME</v>
      </c>
      <c r="AO1708" s="1" t="str">
        <f>IF(Table1[[#This Row],[MNT_TOTAL]]&gt;=900,"HIGH VALUE","LOW VALUE")</f>
        <v>LOW VALUE</v>
      </c>
      <c r="AP17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08" s="1"/>
      <c r="AR1708" s="1"/>
    </row>
    <row r="1709" spans="1:44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2268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1349</v>
      </c>
      <c r="AJ1709">
        <v>1242</v>
      </c>
      <c r="AK1709">
        <v>1</v>
      </c>
      <c r="AL1709">
        <f t="shared" si="26"/>
        <v>1456</v>
      </c>
      <c r="AM1709">
        <f>IF(OR(Table1[[#This Row],[marital_Married]]=1,Table1[[#This Row],[marital_Together]]=1),1,0)</f>
        <v>1</v>
      </c>
      <c r="AN1709" t="str">
        <f>IF(Table1[[#This Row],[Income]]&gt;=70000,"HIGH INCOME","LOW INCOME")</f>
        <v>HIGH INCOME</v>
      </c>
      <c r="AO1709" s="1" t="str">
        <f>IF(Table1[[#This Row],[MNT_TOTAL]]&gt;=900,"HIGH VALUE","LOW VALUE")</f>
        <v>HIGH VALUE</v>
      </c>
      <c r="AP17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09" s="1"/>
      <c r="AR1709" s="1"/>
    </row>
    <row r="1710" spans="1:44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62</v>
      </c>
      <c r="X1710">
        <v>2578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537</v>
      </c>
      <c r="AJ1710">
        <v>511</v>
      </c>
      <c r="AK1710">
        <v>0</v>
      </c>
      <c r="AL1710">
        <f t="shared" si="26"/>
        <v>563</v>
      </c>
      <c r="AM1710">
        <f>IF(OR(Table1[[#This Row],[marital_Married]]=1,Table1[[#This Row],[marital_Together]]=1),1,0)</f>
        <v>0</v>
      </c>
      <c r="AN1710" t="str">
        <f>IF(Table1[[#This Row],[Income]]&gt;=70000,"HIGH INCOME","LOW INCOME")</f>
        <v>HIGH INCOME</v>
      </c>
      <c r="AO1710" s="1" t="str">
        <f>IF(Table1[[#This Row],[MNT_TOTAL]]&gt;=900,"HIGH VALUE","LOW VALUE")</f>
        <v>LOW VALUE</v>
      </c>
      <c r="AP17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10" s="1"/>
      <c r="AR1710" s="1"/>
    </row>
    <row r="1711" spans="1:44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66</v>
      </c>
      <c r="X1711">
        <v>2655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1490</v>
      </c>
      <c r="AJ1711">
        <v>1476</v>
      </c>
      <c r="AK1711">
        <v>0</v>
      </c>
      <c r="AL1711">
        <f t="shared" si="26"/>
        <v>1504</v>
      </c>
      <c r="AM1711">
        <f>IF(OR(Table1[[#This Row],[marital_Married]]=1,Table1[[#This Row],[marital_Together]]=1),1,0)</f>
        <v>0</v>
      </c>
      <c r="AN1711" t="str">
        <f>IF(Table1[[#This Row],[Income]]&gt;=70000,"HIGH INCOME","LOW INCOME")</f>
        <v>HIGH INCOME</v>
      </c>
      <c r="AO1711" s="1" t="str">
        <f>IF(Table1[[#This Row],[MNT_TOTAL]]&gt;=900,"HIGH VALUE","LOW VALUE")</f>
        <v>HIGH VALUE</v>
      </c>
      <c r="AP17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711" s="1"/>
      <c r="AR1711" s="1"/>
    </row>
    <row r="1712" spans="1:44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53</v>
      </c>
      <c r="X1712">
        <v>2225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548</v>
      </c>
      <c r="AJ1712">
        <v>532</v>
      </c>
      <c r="AK1712">
        <v>0</v>
      </c>
      <c r="AL1712">
        <f t="shared" si="26"/>
        <v>564</v>
      </c>
      <c r="AM1712">
        <f>IF(OR(Table1[[#This Row],[marital_Married]]=1,Table1[[#This Row],[marital_Together]]=1),1,0)</f>
        <v>0</v>
      </c>
      <c r="AN1712" t="str">
        <f>IF(Table1[[#This Row],[Income]]&gt;=70000,"HIGH INCOME","LOW INCOME")</f>
        <v>HIGH INCOME</v>
      </c>
      <c r="AO1712" s="1" t="str">
        <f>IF(Table1[[#This Row],[MNT_TOTAL]]&gt;=900,"HIGH VALUE","LOW VALUE")</f>
        <v>LOW VALUE</v>
      </c>
      <c r="AP17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12" s="1"/>
      <c r="AR1712" s="1"/>
    </row>
    <row r="1713" spans="1:44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57</v>
      </c>
      <c r="X1713">
        <v>2374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1096</v>
      </c>
      <c r="AJ1713">
        <v>1067</v>
      </c>
      <c r="AK1713">
        <v>1</v>
      </c>
      <c r="AL1713">
        <f t="shared" si="26"/>
        <v>1125</v>
      </c>
      <c r="AM1713">
        <f>IF(OR(Table1[[#This Row],[marital_Married]]=1,Table1[[#This Row],[marital_Together]]=1),1,0)</f>
        <v>1</v>
      </c>
      <c r="AN1713" t="str">
        <f>IF(Table1[[#This Row],[Income]]&gt;=70000,"HIGH INCOME","LOW INCOME")</f>
        <v>HIGH INCOME</v>
      </c>
      <c r="AO1713" s="1" t="str">
        <f>IF(Table1[[#This Row],[MNT_TOTAL]]&gt;=900,"HIGH VALUE","LOW VALUE")</f>
        <v>HIGH VALUE</v>
      </c>
      <c r="AP17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13" s="1"/>
      <c r="AR1713" s="1"/>
    </row>
    <row r="1714" spans="1:44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61</v>
      </c>
      <c r="X1714">
        <v>2195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352</v>
      </c>
      <c r="AJ1714">
        <v>346</v>
      </c>
      <c r="AK1714">
        <v>1</v>
      </c>
      <c r="AL1714">
        <f t="shared" si="26"/>
        <v>358</v>
      </c>
      <c r="AM1714">
        <f>IF(OR(Table1[[#This Row],[marital_Married]]=1,Table1[[#This Row],[marital_Together]]=1),1,0)</f>
        <v>1</v>
      </c>
      <c r="AN1714" t="str">
        <f>IF(Table1[[#This Row],[Income]]&gt;=70000,"HIGH INCOME","LOW INCOME")</f>
        <v>LOW INCOME</v>
      </c>
      <c r="AO1714" s="1" t="str">
        <f>IF(Table1[[#This Row],[MNT_TOTAL]]&gt;=900,"HIGH VALUE","LOW VALUE")</f>
        <v>LOW VALUE</v>
      </c>
      <c r="AP17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14" s="1"/>
      <c r="AR1714" s="1"/>
    </row>
    <row r="1715" spans="1:44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49</v>
      </c>
      <c r="X1715">
        <v>2359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39</v>
      </c>
      <c r="AJ1715">
        <v>36</v>
      </c>
      <c r="AK1715">
        <v>0</v>
      </c>
      <c r="AL1715">
        <f t="shared" si="26"/>
        <v>42</v>
      </c>
      <c r="AM1715">
        <f>IF(OR(Table1[[#This Row],[marital_Married]]=1,Table1[[#This Row],[marital_Together]]=1),1,0)</f>
        <v>1</v>
      </c>
      <c r="AN1715" t="str">
        <f>IF(Table1[[#This Row],[Income]]&gt;=70000,"HIGH INCOME","LOW INCOME")</f>
        <v>LOW INCOME</v>
      </c>
      <c r="AO1715" s="1" t="str">
        <f>IF(Table1[[#This Row],[MNT_TOTAL]]&gt;=900,"HIGH VALUE","LOW VALUE")</f>
        <v>LOW VALUE</v>
      </c>
      <c r="AP17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15" s="1"/>
      <c r="AR1715" s="1"/>
    </row>
    <row r="1716" spans="1:44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56</v>
      </c>
      <c r="X1716">
        <v>2225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152</v>
      </c>
      <c r="AJ1716">
        <v>120</v>
      </c>
      <c r="AK1716">
        <v>1</v>
      </c>
      <c r="AL1716">
        <f t="shared" si="26"/>
        <v>184</v>
      </c>
      <c r="AM1716">
        <f>IF(OR(Table1[[#This Row],[marital_Married]]=1,Table1[[#This Row],[marital_Together]]=1),1,0)</f>
        <v>1</v>
      </c>
      <c r="AN1716" t="str">
        <f>IF(Table1[[#This Row],[Income]]&gt;=70000,"HIGH INCOME","LOW INCOME")</f>
        <v>LOW INCOME</v>
      </c>
      <c r="AO1716" s="1" t="str">
        <f>IF(Table1[[#This Row],[MNT_TOTAL]]&gt;=900,"HIGH VALUE","LOW VALUE")</f>
        <v>LOW VALUE</v>
      </c>
      <c r="AP17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16" s="1"/>
      <c r="AR1716" s="1"/>
    </row>
    <row r="1717" spans="1:44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37</v>
      </c>
      <c r="X1717">
        <v>2596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394</v>
      </c>
      <c r="AJ1717">
        <v>328</v>
      </c>
      <c r="AK1717">
        <v>0</v>
      </c>
      <c r="AL1717">
        <f t="shared" si="26"/>
        <v>460</v>
      </c>
      <c r="AM1717">
        <f>IF(OR(Table1[[#This Row],[marital_Married]]=1,Table1[[#This Row],[marital_Together]]=1),1,0)</f>
        <v>1</v>
      </c>
      <c r="AN1717" t="str">
        <f>IF(Table1[[#This Row],[Income]]&gt;=70000,"HIGH INCOME","LOW INCOME")</f>
        <v>LOW INCOME</v>
      </c>
      <c r="AO1717" s="1" t="str">
        <f>IF(Table1[[#This Row],[MNT_TOTAL]]&gt;=900,"HIGH VALUE","LOW VALUE")</f>
        <v>LOW VALUE</v>
      </c>
      <c r="AP17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17" s="1"/>
      <c r="AR1717" s="1"/>
    </row>
    <row r="1718" spans="1:44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75</v>
      </c>
      <c r="X1718">
        <v>2191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120</v>
      </c>
      <c r="AJ1718">
        <v>95</v>
      </c>
      <c r="AK1718">
        <v>0</v>
      </c>
      <c r="AL1718">
        <f t="shared" si="26"/>
        <v>145</v>
      </c>
      <c r="AM1718">
        <f>IF(OR(Table1[[#This Row],[marital_Married]]=1,Table1[[#This Row],[marital_Together]]=1),1,0)</f>
        <v>0</v>
      </c>
      <c r="AN1718" t="str">
        <f>IF(Table1[[#This Row],[Income]]&gt;=70000,"HIGH INCOME","LOW INCOME")</f>
        <v>LOW INCOME</v>
      </c>
      <c r="AO1718" s="1" t="str">
        <f>IF(Table1[[#This Row],[MNT_TOTAL]]&gt;=900,"HIGH VALUE","LOW VALUE")</f>
        <v>LOW VALUE</v>
      </c>
      <c r="AP17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18" s="1"/>
      <c r="AR1718" s="1"/>
    </row>
    <row r="1719" spans="1:44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73</v>
      </c>
      <c r="X1719">
        <v>2688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1185</v>
      </c>
      <c r="AJ1719">
        <v>994</v>
      </c>
      <c r="AK1719">
        <v>0</v>
      </c>
      <c r="AL1719">
        <f t="shared" si="26"/>
        <v>1376</v>
      </c>
      <c r="AM1719">
        <f>IF(OR(Table1[[#This Row],[marital_Married]]=1,Table1[[#This Row],[marital_Together]]=1),1,0)</f>
        <v>1</v>
      </c>
      <c r="AN1719" t="str">
        <f>IF(Table1[[#This Row],[Income]]&gt;=70000,"HIGH INCOME","LOW INCOME")</f>
        <v>HIGH INCOME</v>
      </c>
      <c r="AO1719" s="1" t="str">
        <f>IF(Table1[[#This Row],[MNT_TOTAL]]&gt;=900,"HIGH VALUE","LOW VALUE")</f>
        <v>HIGH VALUE</v>
      </c>
      <c r="AP17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19" s="1"/>
      <c r="AR1719" s="1"/>
    </row>
    <row r="1720" spans="1:44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51</v>
      </c>
      <c r="X1720">
        <v>2684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777</v>
      </c>
      <c r="AJ1720">
        <v>762</v>
      </c>
      <c r="AK1720">
        <v>0</v>
      </c>
      <c r="AL1720">
        <f t="shared" si="26"/>
        <v>792</v>
      </c>
      <c r="AM1720">
        <f>IF(OR(Table1[[#This Row],[marital_Married]]=1,Table1[[#This Row],[marital_Together]]=1),1,0)</f>
        <v>0</v>
      </c>
      <c r="AN1720" t="str">
        <f>IF(Table1[[#This Row],[Income]]&gt;=70000,"HIGH INCOME","LOW INCOME")</f>
        <v>LOW INCOME</v>
      </c>
      <c r="AO1720" s="1" t="str">
        <f>IF(Table1[[#This Row],[MNT_TOTAL]]&gt;=900,"HIGH VALUE","LOW VALUE")</f>
        <v>LOW VALUE</v>
      </c>
      <c r="AP17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0" s="1"/>
      <c r="AR1720" s="1"/>
    </row>
    <row r="1721" spans="1:44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68</v>
      </c>
      <c r="X1721">
        <v>2770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1294</v>
      </c>
      <c r="AJ1721">
        <v>1206</v>
      </c>
      <c r="AK1721">
        <v>0</v>
      </c>
      <c r="AL1721">
        <f t="shared" si="26"/>
        <v>1382</v>
      </c>
      <c r="AM1721">
        <f>IF(OR(Table1[[#This Row],[marital_Married]]=1,Table1[[#This Row],[marital_Together]]=1),1,0)</f>
        <v>1</v>
      </c>
      <c r="AN1721" t="str">
        <f>IF(Table1[[#This Row],[Income]]&gt;=70000,"HIGH INCOME","LOW INCOME")</f>
        <v>HIGH INCOME</v>
      </c>
      <c r="AO1721" s="1" t="str">
        <f>IF(Table1[[#This Row],[MNT_TOTAL]]&gt;=900,"HIGH VALUE","LOW VALUE")</f>
        <v>HIGH VALUE</v>
      </c>
      <c r="AP17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21" s="1"/>
      <c r="AR1721" s="1"/>
    </row>
    <row r="1722" spans="1:44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73</v>
      </c>
      <c r="X1722">
        <v>2745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20</v>
      </c>
      <c r="AJ1722">
        <v>12</v>
      </c>
      <c r="AK1722">
        <v>0</v>
      </c>
      <c r="AL1722">
        <f t="shared" si="26"/>
        <v>28</v>
      </c>
      <c r="AM1722">
        <f>IF(OR(Table1[[#This Row],[marital_Married]]=1,Table1[[#This Row],[marital_Together]]=1),1,0)</f>
        <v>1</v>
      </c>
      <c r="AN1722" t="str">
        <f>IF(Table1[[#This Row],[Income]]&gt;=70000,"HIGH INCOME","LOW INCOME")</f>
        <v>LOW INCOME</v>
      </c>
      <c r="AO1722" s="1" t="str">
        <f>IF(Table1[[#This Row],[MNT_TOTAL]]&gt;=900,"HIGH VALUE","LOW VALUE")</f>
        <v>LOW VALUE</v>
      </c>
      <c r="AP17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22" s="1"/>
      <c r="AR1722" s="1"/>
    </row>
    <row r="1723" spans="1:44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74</v>
      </c>
      <c r="X1723">
        <v>2433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892</v>
      </c>
      <c r="AJ1723">
        <v>751</v>
      </c>
      <c r="AK1723">
        <v>0</v>
      </c>
      <c r="AL1723">
        <f t="shared" si="26"/>
        <v>1033</v>
      </c>
      <c r="AM1723">
        <f>IF(OR(Table1[[#This Row],[marital_Married]]=1,Table1[[#This Row],[marital_Together]]=1),1,0)</f>
        <v>1</v>
      </c>
      <c r="AN1723" t="str">
        <f>IF(Table1[[#This Row],[Income]]&gt;=70000,"HIGH INCOME","LOW INCOME")</f>
        <v>LOW INCOME</v>
      </c>
      <c r="AO1723" s="1" t="str">
        <f>IF(Table1[[#This Row],[MNT_TOTAL]]&gt;=900,"HIGH VALUE","LOW VALUE")</f>
        <v>HIGH VALUE</v>
      </c>
      <c r="AP17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3" s="1"/>
      <c r="AR1723" s="1"/>
    </row>
    <row r="1724" spans="1:44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51</v>
      </c>
      <c r="X1724">
        <v>2555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733</v>
      </c>
      <c r="AJ1724">
        <v>584</v>
      </c>
      <c r="AK1724">
        <v>0</v>
      </c>
      <c r="AL1724">
        <f t="shared" si="26"/>
        <v>882</v>
      </c>
      <c r="AM1724">
        <f>IF(OR(Table1[[#This Row],[marital_Married]]=1,Table1[[#This Row],[marital_Together]]=1),1,0)</f>
        <v>0</v>
      </c>
      <c r="AN1724" t="str">
        <f>IF(Table1[[#This Row],[Income]]&gt;=70000,"HIGH INCOME","LOW INCOME")</f>
        <v>LOW INCOME</v>
      </c>
      <c r="AO1724" s="1" t="str">
        <f>IF(Table1[[#This Row],[MNT_TOTAL]]&gt;=900,"HIGH VALUE","LOW VALUE")</f>
        <v>LOW VALUE</v>
      </c>
      <c r="AP17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4" s="1"/>
      <c r="AR1724" s="1"/>
    </row>
    <row r="1725" spans="1:44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0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</v>
      </c>
      <c r="W1725">
        <v>71</v>
      </c>
      <c r="X1725">
        <v>2642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2188</v>
      </c>
      <c r="AJ1725">
        <v>2145</v>
      </c>
      <c r="AK1725">
        <v>3</v>
      </c>
      <c r="AL1725">
        <f t="shared" si="26"/>
        <v>2231</v>
      </c>
      <c r="AM1725">
        <f>IF(OR(Table1[[#This Row],[marital_Married]]=1,Table1[[#This Row],[marital_Together]]=1),1,0)</f>
        <v>1</v>
      </c>
      <c r="AN1725" t="str">
        <f>IF(Table1[[#This Row],[Income]]&gt;=70000,"HIGH INCOME","LOW INCOME")</f>
        <v>HIGH INCOME</v>
      </c>
      <c r="AO1725" s="1" t="str">
        <f>IF(Table1[[#This Row],[MNT_TOTAL]]&gt;=900,"HIGH VALUE","LOW VALUE")</f>
        <v>HIGH VALUE</v>
      </c>
      <c r="AP17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25" s="1"/>
      <c r="AR1725" s="1"/>
    </row>
    <row r="1726" spans="1:44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59</v>
      </c>
      <c r="X1726">
        <v>2780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1080</v>
      </c>
      <c r="AJ1726">
        <v>1059</v>
      </c>
      <c r="AK1726">
        <v>1</v>
      </c>
      <c r="AL1726">
        <f t="shared" si="26"/>
        <v>1101</v>
      </c>
      <c r="AM1726">
        <f>IF(OR(Table1[[#This Row],[marital_Married]]=1,Table1[[#This Row],[marital_Together]]=1),1,0)</f>
        <v>1</v>
      </c>
      <c r="AN1726" t="str">
        <f>IF(Table1[[#This Row],[Income]]&gt;=70000,"HIGH INCOME","LOW INCOME")</f>
        <v>LOW INCOME</v>
      </c>
      <c r="AO1726" s="1" t="str">
        <f>IF(Table1[[#This Row],[MNT_TOTAL]]&gt;=900,"HIGH VALUE","LOW VALUE")</f>
        <v>HIGH VALUE</v>
      </c>
      <c r="AP17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6" s="1"/>
      <c r="AR1726" s="1"/>
    </row>
    <row r="1727" spans="1:44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46</v>
      </c>
      <c r="X1727">
        <v>2814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263</v>
      </c>
      <c r="AJ1727">
        <v>157</v>
      </c>
      <c r="AK1727">
        <v>0</v>
      </c>
      <c r="AL1727">
        <f t="shared" si="26"/>
        <v>369</v>
      </c>
      <c r="AM1727">
        <f>IF(OR(Table1[[#This Row],[marital_Married]]=1,Table1[[#This Row],[marital_Together]]=1),1,0)</f>
        <v>1</v>
      </c>
      <c r="AN1727" t="str">
        <f>IF(Table1[[#This Row],[Income]]&gt;=70000,"HIGH INCOME","LOW INCOME")</f>
        <v>LOW INCOME</v>
      </c>
      <c r="AO1727" s="1" t="str">
        <f>IF(Table1[[#This Row],[MNT_TOTAL]]&gt;=900,"HIGH VALUE","LOW VALUE")</f>
        <v>LOW VALUE</v>
      </c>
      <c r="AP17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27" s="1"/>
      <c r="AR1727" s="1"/>
    </row>
    <row r="1728" spans="1:44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40</v>
      </c>
      <c r="X1728">
        <v>2281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37</v>
      </c>
      <c r="AJ1728">
        <v>26</v>
      </c>
      <c r="AK1728">
        <v>0</v>
      </c>
      <c r="AL1728">
        <f t="shared" si="26"/>
        <v>48</v>
      </c>
      <c r="AM1728">
        <f>IF(OR(Table1[[#This Row],[marital_Married]]=1,Table1[[#This Row],[marital_Together]]=1),1,0)</f>
        <v>0</v>
      </c>
      <c r="AN1728" t="str">
        <f>IF(Table1[[#This Row],[Income]]&gt;=70000,"HIGH INCOME","LOW INCOME")</f>
        <v>LOW INCOME</v>
      </c>
      <c r="AO1728" s="1" t="str">
        <f>IF(Table1[[#This Row],[MNT_TOTAL]]&gt;=900,"HIGH VALUE","LOW VALUE")</f>
        <v>LOW VALUE</v>
      </c>
      <c r="AP17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8" s="1"/>
      <c r="AR1728" s="1"/>
    </row>
    <row r="1729" spans="1:44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71</v>
      </c>
      <c r="X1729">
        <v>2661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433</v>
      </c>
      <c r="AJ1729">
        <v>399</v>
      </c>
      <c r="AK1729">
        <v>1</v>
      </c>
      <c r="AL1729">
        <f t="shared" si="26"/>
        <v>467</v>
      </c>
      <c r="AM1729">
        <f>IF(OR(Table1[[#This Row],[marital_Married]]=1,Table1[[#This Row],[marital_Together]]=1),1,0)</f>
        <v>0</v>
      </c>
      <c r="AN1729" t="str">
        <f>IF(Table1[[#This Row],[Income]]&gt;=70000,"HIGH INCOME","LOW INCOME")</f>
        <v>LOW INCOME</v>
      </c>
      <c r="AO1729" s="1" t="str">
        <f>IF(Table1[[#This Row],[MNT_TOTAL]]&gt;=900,"HIGH VALUE","LOW VALUE")</f>
        <v>LOW VALUE</v>
      </c>
      <c r="AP17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29" s="1"/>
      <c r="AR1729" s="1"/>
    </row>
    <row r="1730" spans="1:44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49</v>
      </c>
      <c r="X1730">
        <v>2710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37</v>
      </c>
      <c r="AJ1730">
        <v>30</v>
      </c>
      <c r="AK1730">
        <v>0</v>
      </c>
      <c r="AL1730">
        <f t="shared" ref="AL1730:AL1793" si="27">SUM(E1730:J1730)</f>
        <v>44</v>
      </c>
      <c r="AM1730">
        <f>IF(OR(Table1[[#This Row],[marital_Married]]=1,Table1[[#This Row],[marital_Together]]=1),1,0)</f>
        <v>0</v>
      </c>
      <c r="AN1730" t="str">
        <f>IF(Table1[[#This Row],[Income]]&gt;=70000,"HIGH INCOME","LOW INCOME")</f>
        <v>LOW INCOME</v>
      </c>
      <c r="AO1730" s="1" t="str">
        <f>IF(Table1[[#This Row],[MNT_TOTAL]]&gt;=900,"HIGH VALUE","LOW VALUE")</f>
        <v>LOW VALUE</v>
      </c>
      <c r="AP17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30" s="1"/>
      <c r="AR1730" s="1"/>
    </row>
    <row r="1731" spans="1:44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41</v>
      </c>
      <c r="X1731">
        <v>2628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31</v>
      </c>
      <c r="AJ1731">
        <v>24</v>
      </c>
      <c r="AK1731">
        <v>0</v>
      </c>
      <c r="AL1731">
        <f t="shared" si="27"/>
        <v>38</v>
      </c>
      <c r="AM1731">
        <f>IF(OR(Table1[[#This Row],[marital_Married]]=1,Table1[[#This Row],[marital_Together]]=1),1,0)</f>
        <v>0</v>
      </c>
      <c r="AN1731" t="str">
        <f>IF(Table1[[#This Row],[Income]]&gt;=70000,"HIGH INCOME","LOW INCOME")</f>
        <v>LOW INCOME</v>
      </c>
      <c r="AO1731" s="1" t="str">
        <f>IF(Table1[[#This Row],[MNT_TOTAL]]&gt;=900,"HIGH VALUE","LOW VALUE")</f>
        <v>LOW VALUE</v>
      </c>
      <c r="AP17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31" s="1"/>
      <c r="AR1731" s="1"/>
    </row>
    <row r="1732" spans="1:44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52</v>
      </c>
      <c r="X1732">
        <v>2394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57</v>
      </c>
      <c r="AJ1732">
        <v>33</v>
      </c>
      <c r="AK1732">
        <v>0</v>
      </c>
      <c r="AL1732">
        <f t="shared" si="27"/>
        <v>81</v>
      </c>
      <c r="AM1732">
        <f>IF(OR(Table1[[#This Row],[marital_Married]]=1,Table1[[#This Row],[marital_Together]]=1),1,0)</f>
        <v>1</v>
      </c>
      <c r="AN1732" t="str">
        <f>IF(Table1[[#This Row],[Income]]&gt;=70000,"HIGH INCOME","LOW INCOME")</f>
        <v>LOW INCOME</v>
      </c>
      <c r="AO1732" s="1" t="str">
        <f>IF(Table1[[#This Row],[MNT_TOTAL]]&gt;=900,"HIGH VALUE","LOW VALUE")</f>
        <v>LOW VALUE</v>
      </c>
      <c r="AP17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32" s="1"/>
      <c r="AR1732" s="1"/>
    </row>
    <row r="1733" spans="1:44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49</v>
      </c>
      <c r="X1733">
        <v>2488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151</v>
      </c>
      <c r="AJ1733">
        <v>135</v>
      </c>
      <c r="AK1733">
        <v>0</v>
      </c>
      <c r="AL1733">
        <f t="shared" si="27"/>
        <v>167</v>
      </c>
      <c r="AM1733">
        <f>IF(OR(Table1[[#This Row],[marital_Married]]=1,Table1[[#This Row],[marital_Together]]=1),1,0)</f>
        <v>0</v>
      </c>
      <c r="AN1733" t="str">
        <f>IF(Table1[[#This Row],[Income]]&gt;=70000,"HIGH INCOME","LOW INCOME")</f>
        <v>LOW INCOME</v>
      </c>
      <c r="AO1733" s="1" t="str">
        <f>IF(Table1[[#This Row],[MNT_TOTAL]]&gt;=900,"HIGH VALUE","LOW VALUE")</f>
        <v>LOW VALUE</v>
      </c>
      <c r="AP17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33" s="1"/>
      <c r="AR1733" s="1"/>
    </row>
    <row r="1734" spans="1:44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65</v>
      </c>
      <c r="X1734">
        <v>2209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40</v>
      </c>
      <c r="AJ1734">
        <v>35</v>
      </c>
      <c r="AK1734">
        <v>0</v>
      </c>
      <c r="AL1734">
        <f t="shared" si="27"/>
        <v>45</v>
      </c>
      <c r="AM1734">
        <f>IF(OR(Table1[[#This Row],[marital_Married]]=1,Table1[[#This Row],[marital_Together]]=1),1,0)</f>
        <v>1</v>
      </c>
      <c r="AN1734" t="str">
        <f>IF(Table1[[#This Row],[Income]]&gt;=70000,"HIGH INCOME","LOW INCOME")</f>
        <v>LOW INCOME</v>
      </c>
      <c r="AO1734" s="1" t="str">
        <f>IF(Table1[[#This Row],[MNT_TOTAL]]&gt;=900,"HIGH VALUE","LOW VALUE")</f>
        <v>LOW VALUE</v>
      </c>
      <c r="AP17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34" s="1"/>
      <c r="AR1734" s="1"/>
    </row>
    <row r="1735" spans="1:44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48</v>
      </c>
      <c r="X1735">
        <v>2558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604</v>
      </c>
      <c r="AJ1735">
        <v>544</v>
      </c>
      <c r="AK1735">
        <v>0</v>
      </c>
      <c r="AL1735">
        <f t="shared" si="27"/>
        <v>664</v>
      </c>
      <c r="AM1735">
        <f>IF(OR(Table1[[#This Row],[marital_Married]]=1,Table1[[#This Row],[marital_Together]]=1),1,0)</f>
        <v>1</v>
      </c>
      <c r="AN1735" t="str">
        <f>IF(Table1[[#This Row],[Income]]&gt;=70000,"HIGH INCOME","LOW INCOME")</f>
        <v>HIGH INCOME</v>
      </c>
      <c r="AO1735" s="1" t="str">
        <f>IF(Table1[[#This Row],[MNT_TOTAL]]&gt;=900,"HIGH VALUE","LOW VALUE")</f>
        <v>LOW VALUE</v>
      </c>
      <c r="AP17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35" s="1"/>
      <c r="AR1735" s="1"/>
    </row>
    <row r="1736" spans="1:44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56</v>
      </c>
      <c r="X1736">
        <v>2451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563</v>
      </c>
      <c r="AJ1736">
        <v>504</v>
      </c>
      <c r="AK1736">
        <v>0</v>
      </c>
      <c r="AL1736">
        <f t="shared" si="27"/>
        <v>622</v>
      </c>
      <c r="AM1736">
        <f>IF(OR(Table1[[#This Row],[marital_Married]]=1,Table1[[#This Row],[marital_Together]]=1),1,0)</f>
        <v>1</v>
      </c>
      <c r="AN1736" t="str">
        <f>IF(Table1[[#This Row],[Income]]&gt;=70000,"HIGH INCOME","LOW INCOME")</f>
        <v>LOW INCOME</v>
      </c>
      <c r="AO1736" s="1" t="str">
        <f>IF(Table1[[#This Row],[MNT_TOTAL]]&gt;=900,"HIGH VALUE","LOW VALUE")</f>
        <v>LOW VALUE</v>
      </c>
      <c r="AP17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36" s="1"/>
      <c r="AR1736" s="1"/>
    </row>
    <row r="1737" spans="1:44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41</v>
      </c>
      <c r="X1737">
        <v>2635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31</v>
      </c>
      <c r="AJ1737">
        <v>14</v>
      </c>
      <c r="AK1737">
        <v>0</v>
      </c>
      <c r="AL1737">
        <f t="shared" si="27"/>
        <v>48</v>
      </c>
      <c r="AM1737">
        <f>IF(OR(Table1[[#This Row],[marital_Married]]=1,Table1[[#This Row],[marital_Together]]=1),1,0)</f>
        <v>0</v>
      </c>
      <c r="AN1737" t="str">
        <f>IF(Table1[[#This Row],[Income]]&gt;=70000,"HIGH INCOME","LOW INCOME")</f>
        <v>LOW INCOME</v>
      </c>
      <c r="AO1737" s="1" t="str">
        <f>IF(Table1[[#This Row],[MNT_TOTAL]]&gt;=900,"HIGH VALUE","LOW VALUE")</f>
        <v>LOW VALUE</v>
      </c>
      <c r="AP17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37" s="1"/>
      <c r="AR1737" s="1"/>
    </row>
    <row r="1738" spans="1:44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45</v>
      </c>
      <c r="X1738">
        <v>2408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403</v>
      </c>
      <c r="AJ1738">
        <v>345</v>
      </c>
      <c r="AK1738">
        <v>0</v>
      </c>
      <c r="AL1738">
        <f t="shared" si="27"/>
        <v>461</v>
      </c>
      <c r="AM1738">
        <f>IF(OR(Table1[[#This Row],[marital_Married]]=1,Table1[[#This Row],[marital_Together]]=1),1,0)</f>
        <v>1</v>
      </c>
      <c r="AN1738" t="str">
        <f>IF(Table1[[#This Row],[Income]]&gt;=70000,"HIGH INCOME","LOW INCOME")</f>
        <v>LOW INCOME</v>
      </c>
      <c r="AO1738" s="1" t="str">
        <f>IF(Table1[[#This Row],[MNT_TOTAL]]&gt;=900,"HIGH VALUE","LOW VALUE")</f>
        <v>LOW VALUE</v>
      </c>
      <c r="AP17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38" s="1"/>
      <c r="AR1738" s="1"/>
    </row>
    <row r="1739" spans="1:44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43</v>
      </c>
      <c r="X1739">
        <v>2472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1023</v>
      </c>
      <c r="AJ1739">
        <v>973</v>
      </c>
      <c r="AK1739">
        <v>0</v>
      </c>
      <c r="AL1739">
        <f t="shared" si="27"/>
        <v>1073</v>
      </c>
      <c r="AM1739">
        <f>IF(OR(Table1[[#This Row],[marital_Married]]=1,Table1[[#This Row],[marital_Together]]=1),1,0)</f>
        <v>1</v>
      </c>
      <c r="AN1739" t="str">
        <f>IF(Table1[[#This Row],[Income]]&gt;=70000,"HIGH INCOME","LOW INCOME")</f>
        <v>HIGH INCOME</v>
      </c>
      <c r="AO1739" s="1" t="str">
        <f>IF(Table1[[#This Row],[MNT_TOTAL]]&gt;=900,"HIGH VALUE","LOW VALUE")</f>
        <v>HIGH VALUE</v>
      </c>
      <c r="AP17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39" s="1"/>
      <c r="AR1739" s="1"/>
    </row>
    <row r="1740" spans="1:44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34</v>
      </c>
      <c r="X1740">
        <v>2454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44</v>
      </c>
      <c r="AJ1740">
        <v>33</v>
      </c>
      <c r="AK1740">
        <v>0</v>
      </c>
      <c r="AL1740">
        <f t="shared" si="27"/>
        <v>55</v>
      </c>
      <c r="AM1740">
        <f>IF(OR(Table1[[#This Row],[marital_Married]]=1,Table1[[#This Row],[marital_Together]]=1),1,0)</f>
        <v>1</v>
      </c>
      <c r="AN1740" t="str">
        <f>IF(Table1[[#This Row],[Income]]&gt;=70000,"HIGH INCOME","LOW INCOME")</f>
        <v>LOW INCOME</v>
      </c>
      <c r="AO1740" s="1" t="str">
        <f>IF(Table1[[#This Row],[MNT_TOTAL]]&gt;=900,"HIGH VALUE","LOW VALUE")</f>
        <v>LOW VALUE</v>
      </c>
      <c r="AP17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40" s="1"/>
      <c r="AR1740" s="1"/>
    </row>
    <row r="1741" spans="1:44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64</v>
      </c>
      <c r="X1741">
        <v>2619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914</v>
      </c>
      <c r="AJ1741">
        <v>852</v>
      </c>
      <c r="AK1741">
        <v>0</v>
      </c>
      <c r="AL1741">
        <f t="shared" si="27"/>
        <v>976</v>
      </c>
      <c r="AM1741">
        <f>IF(OR(Table1[[#This Row],[marital_Married]]=1,Table1[[#This Row],[marital_Together]]=1),1,0)</f>
        <v>1</v>
      </c>
      <c r="AN1741" t="str">
        <f>IF(Table1[[#This Row],[Income]]&gt;=70000,"HIGH INCOME","LOW INCOME")</f>
        <v>LOW INCOME</v>
      </c>
      <c r="AO1741" s="1" t="str">
        <f>IF(Table1[[#This Row],[MNT_TOTAL]]&gt;=900,"HIGH VALUE","LOW VALUE")</f>
        <v>HIGH VALUE</v>
      </c>
      <c r="AP17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41" s="1"/>
      <c r="AR1741" s="1"/>
    </row>
    <row r="1742" spans="1:44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40</v>
      </c>
      <c r="X1742">
        <v>2172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19</v>
      </c>
      <c r="AJ1742">
        <v>18</v>
      </c>
      <c r="AK1742">
        <v>0</v>
      </c>
      <c r="AL1742">
        <f t="shared" si="27"/>
        <v>20</v>
      </c>
      <c r="AM1742">
        <f>IF(OR(Table1[[#This Row],[marital_Married]]=1,Table1[[#This Row],[marital_Together]]=1),1,0)</f>
        <v>0</v>
      </c>
      <c r="AN1742" t="str">
        <f>IF(Table1[[#This Row],[Income]]&gt;=70000,"HIGH INCOME","LOW INCOME")</f>
        <v>LOW INCOME</v>
      </c>
      <c r="AO1742" s="1" t="str">
        <f>IF(Table1[[#This Row],[MNT_TOTAL]]&gt;=900,"HIGH VALUE","LOW VALUE")</f>
        <v>LOW VALUE</v>
      </c>
      <c r="AP17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42" s="1"/>
      <c r="AR1742" s="1"/>
    </row>
    <row r="1743" spans="1:44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38</v>
      </c>
      <c r="X1743">
        <v>2576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1117</v>
      </c>
      <c r="AJ1743">
        <v>1085</v>
      </c>
      <c r="AK1743">
        <v>0</v>
      </c>
      <c r="AL1743">
        <f t="shared" si="27"/>
        <v>1149</v>
      </c>
      <c r="AM1743">
        <f>IF(OR(Table1[[#This Row],[marital_Married]]=1,Table1[[#This Row],[marital_Together]]=1),1,0)</f>
        <v>1</v>
      </c>
      <c r="AN1743" t="str">
        <f>IF(Table1[[#This Row],[Income]]&gt;=70000,"HIGH INCOME","LOW INCOME")</f>
        <v>HIGH INCOME</v>
      </c>
      <c r="AO1743" s="1" t="str">
        <f>IF(Table1[[#This Row],[MNT_TOTAL]]&gt;=900,"HIGH VALUE","LOW VALUE")</f>
        <v>HIGH VALUE</v>
      </c>
      <c r="AP17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43" s="1"/>
      <c r="AR1743" s="1"/>
    </row>
    <row r="1744" spans="1:44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59</v>
      </c>
      <c r="X1744">
        <v>2173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33</v>
      </c>
      <c r="AJ1744">
        <v>23</v>
      </c>
      <c r="AK1744">
        <v>0</v>
      </c>
      <c r="AL1744">
        <f t="shared" si="27"/>
        <v>43</v>
      </c>
      <c r="AM1744">
        <f>IF(OR(Table1[[#This Row],[marital_Married]]=1,Table1[[#This Row],[marital_Together]]=1),1,0)</f>
        <v>1</v>
      </c>
      <c r="AN1744" t="str">
        <f>IF(Table1[[#This Row],[Income]]&gt;=70000,"HIGH INCOME","LOW INCOME")</f>
        <v>LOW INCOME</v>
      </c>
      <c r="AO1744" s="1" t="str">
        <f>IF(Table1[[#This Row],[MNT_TOTAL]]&gt;=900,"HIGH VALUE","LOW VALUE")</f>
        <v>LOW VALUE</v>
      </c>
      <c r="AP17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44" s="1"/>
      <c r="AR1744" s="1"/>
    </row>
    <row r="1745" spans="1:44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45</v>
      </c>
      <c r="X1745">
        <v>2411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152</v>
      </c>
      <c r="AJ1745">
        <v>80</v>
      </c>
      <c r="AK1745">
        <v>1</v>
      </c>
      <c r="AL1745">
        <f t="shared" si="27"/>
        <v>224</v>
      </c>
      <c r="AM1745">
        <f>IF(OR(Table1[[#This Row],[marital_Married]]=1,Table1[[#This Row],[marital_Together]]=1),1,0)</f>
        <v>1</v>
      </c>
      <c r="AN1745" t="str">
        <f>IF(Table1[[#This Row],[Income]]&gt;=70000,"HIGH INCOME","LOW INCOME")</f>
        <v>LOW INCOME</v>
      </c>
      <c r="AO1745" s="1" t="str">
        <f>IF(Table1[[#This Row],[MNT_TOTAL]]&gt;=900,"HIGH VALUE","LOW VALUE")</f>
        <v>LOW VALUE</v>
      </c>
      <c r="AP17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45" s="1"/>
      <c r="AR1745" s="1"/>
    </row>
    <row r="1746" spans="1:44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46</v>
      </c>
      <c r="X1746">
        <v>2808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90</v>
      </c>
      <c r="AJ1746">
        <v>79</v>
      </c>
      <c r="AK1746">
        <v>0</v>
      </c>
      <c r="AL1746">
        <f t="shared" si="27"/>
        <v>101</v>
      </c>
      <c r="AM1746">
        <f>IF(OR(Table1[[#This Row],[marital_Married]]=1,Table1[[#This Row],[marital_Together]]=1),1,0)</f>
        <v>0</v>
      </c>
      <c r="AN1746" t="str">
        <f>IF(Table1[[#This Row],[Income]]&gt;=70000,"HIGH INCOME","LOW INCOME")</f>
        <v>LOW INCOME</v>
      </c>
      <c r="AO1746" s="1" t="str">
        <f>IF(Table1[[#This Row],[MNT_TOTAL]]&gt;=900,"HIGH VALUE","LOW VALUE")</f>
        <v>LOW VALUE</v>
      </c>
      <c r="AP17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46" s="1"/>
      <c r="AR1746" s="1"/>
    </row>
    <row r="1747" spans="1:44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74</v>
      </c>
      <c r="X1747">
        <v>2596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185</v>
      </c>
      <c r="AJ1747">
        <v>161</v>
      </c>
      <c r="AK1747">
        <v>0</v>
      </c>
      <c r="AL1747">
        <f t="shared" si="27"/>
        <v>209</v>
      </c>
      <c r="AM1747">
        <f>IF(OR(Table1[[#This Row],[marital_Married]]=1,Table1[[#This Row],[marital_Together]]=1),1,0)</f>
        <v>1</v>
      </c>
      <c r="AN1747" t="str">
        <f>IF(Table1[[#This Row],[Income]]&gt;=70000,"HIGH INCOME","LOW INCOME")</f>
        <v>LOW INCOME</v>
      </c>
      <c r="AO1747" s="1" t="str">
        <f>IF(Table1[[#This Row],[MNT_TOTAL]]&gt;=900,"HIGH VALUE","LOW VALUE")</f>
        <v>LOW VALUE</v>
      </c>
      <c r="AP17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47" s="1"/>
      <c r="AR1747" s="1"/>
    </row>
    <row r="1748" spans="1:44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35</v>
      </c>
      <c r="X1748">
        <v>2791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942</v>
      </c>
      <c r="AJ1748">
        <v>916</v>
      </c>
      <c r="AK1748">
        <v>0</v>
      </c>
      <c r="AL1748">
        <f t="shared" si="27"/>
        <v>968</v>
      </c>
      <c r="AM1748">
        <f>IF(OR(Table1[[#This Row],[marital_Married]]=1,Table1[[#This Row],[marital_Together]]=1),1,0)</f>
        <v>0</v>
      </c>
      <c r="AN1748" t="str">
        <f>IF(Table1[[#This Row],[Income]]&gt;=70000,"HIGH INCOME","LOW INCOME")</f>
        <v>HIGH INCOME</v>
      </c>
      <c r="AO1748" s="1" t="str">
        <f>IF(Table1[[#This Row],[MNT_TOTAL]]&gt;=900,"HIGH VALUE","LOW VALUE")</f>
        <v>HIGH VALUE</v>
      </c>
      <c r="AP17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748" s="1"/>
      <c r="AR1748" s="1"/>
    </row>
    <row r="1749" spans="1:44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68</v>
      </c>
      <c r="X1749">
        <v>2545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1112</v>
      </c>
      <c r="AJ1749">
        <v>1059</v>
      </c>
      <c r="AK1749">
        <v>0</v>
      </c>
      <c r="AL1749">
        <f t="shared" si="27"/>
        <v>1165</v>
      </c>
      <c r="AM1749">
        <f>IF(OR(Table1[[#This Row],[marital_Married]]=1,Table1[[#This Row],[marital_Together]]=1),1,0)</f>
        <v>1</v>
      </c>
      <c r="AN1749" t="str">
        <f>IF(Table1[[#This Row],[Income]]&gt;=70000,"HIGH INCOME","LOW INCOME")</f>
        <v>HIGH INCOME</v>
      </c>
      <c r="AO1749" s="1" t="str">
        <f>IF(Table1[[#This Row],[MNT_TOTAL]]&gt;=900,"HIGH VALUE","LOW VALUE")</f>
        <v>HIGH VALUE</v>
      </c>
      <c r="AP17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49" s="1"/>
      <c r="AR1749" s="1"/>
    </row>
    <row r="1750" spans="1:44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53</v>
      </c>
      <c r="X1750">
        <v>2262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24</v>
      </c>
      <c r="AJ1750">
        <v>24</v>
      </c>
      <c r="AK1750">
        <v>0</v>
      </c>
      <c r="AL1750">
        <f t="shared" si="27"/>
        <v>24</v>
      </c>
      <c r="AM1750">
        <f>IF(OR(Table1[[#This Row],[marital_Married]]=1,Table1[[#This Row],[marital_Together]]=1),1,0)</f>
        <v>1</v>
      </c>
      <c r="AN1750" t="str">
        <f>IF(Table1[[#This Row],[Income]]&gt;=70000,"HIGH INCOME","LOW INCOME")</f>
        <v>LOW INCOME</v>
      </c>
      <c r="AO1750" s="1" t="str">
        <f>IF(Table1[[#This Row],[MNT_TOTAL]]&gt;=900,"HIGH VALUE","LOW VALUE")</f>
        <v>LOW VALUE</v>
      </c>
      <c r="AP17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0" s="1"/>
      <c r="AR1750" s="1"/>
    </row>
    <row r="1751" spans="1:44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65</v>
      </c>
      <c r="X1751">
        <v>2767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252</v>
      </c>
      <c r="AJ1751">
        <v>252</v>
      </c>
      <c r="AK1751">
        <v>0</v>
      </c>
      <c r="AL1751">
        <f t="shared" si="27"/>
        <v>252</v>
      </c>
      <c r="AM1751">
        <f>IF(OR(Table1[[#This Row],[marital_Married]]=1,Table1[[#This Row],[marital_Together]]=1),1,0)</f>
        <v>1</v>
      </c>
      <c r="AN1751" t="str">
        <f>IF(Table1[[#This Row],[Income]]&gt;=70000,"HIGH INCOME","LOW INCOME")</f>
        <v>LOW INCOME</v>
      </c>
      <c r="AO1751" s="1" t="str">
        <f>IF(Table1[[#This Row],[MNT_TOTAL]]&gt;=900,"HIGH VALUE","LOW VALUE")</f>
        <v>LOW VALUE</v>
      </c>
      <c r="AP17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1" s="1"/>
      <c r="AR1751" s="1"/>
    </row>
    <row r="1752" spans="1:44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35</v>
      </c>
      <c r="X1752">
        <v>2828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148</v>
      </c>
      <c r="AJ1752">
        <v>131</v>
      </c>
      <c r="AK1752">
        <v>0</v>
      </c>
      <c r="AL1752">
        <f t="shared" si="27"/>
        <v>165</v>
      </c>
      <c r="AM1752">
        <f>IF(OR(Table1[[#This Row],[marital_Married]]=1,Table1[[#This Row],[marital_Together]]=1),1,0)</f>
        <v>0</v>
      </c>
      <c r="AN1752" t="str">
        <f>IF(Table1[[#This Row],[Income]]&gt;=70000,"HIGH INCOME","LOW INCOME")</f>
        <v>LOW INCOME</v>
      </c>
      <c r="AO1752" s="1" t="str">
        <f>IF(Table1[[#This Row],[MNT_TOTAL]]&gt;=900,"HIGH VALUE","LOW VALUE")</f>
        <v>LOW VALUE</v>
      </c>
      <c r="AP17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52" s="1"/>
      <c r="AR1752" s="1"/>
    </row>
    <row r="1753" spans="1:44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43</v>
      </c>
      <c r="X1753">
        <v>2783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>
        <v>257</v>
      </c>
      <c r="AJ1753">
        <v>245</v>
      </c>
      <c r="AK1753">
        <v>0</v>
      </c>
      <c r="AL1753">
        <f t="shared" si="27"/>
        <v>269</v>
      </c>
      <c r="AM1753">
        <f>IF(OR(Table1[[#This Row],[marital_Married]]=1,Table1[[#This Row],[marital_Together]]=1),1,0)</f>
        <v>1</v>
      </c>
      <c r="AN1753" t="str">
        <f>IF(Table1[[#This Row],[Income]]&gt;=70000,"HIGH INCOME","LOW INCOME")</f>
        <v>LOW INCOME</v>
      </c>
      <c r="AO1753" s="1" t="str">
        <f>IF(Table1[[#This Row],[MNT_TOTAL]]&gt;=900,"HIGH VALUE","LOW VALUE")</f>
        <v>LOW VALUE</v>
      </c>
      <c r="AP17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3" s="1"/>
      <c r="AR1753" s="1"/>
    </row>
    <row r="1754" spans="1:44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47</v>
      </c>
      <c r="X1754">
        <v>2486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89</v>
      </c>
      <c r="AJ1754">
        <v>76</v>
      </c>
      <c r="AK1754">
        <v>0</v>
      </c>
      <c r="AL1754">
        <f t="shared" si="27"/>
        <v>102</v>
      </c>
      <c r="AM1754">
        <f>IF(OR(Table1[[#This Row],[marital_Married]]=1,Table1[[#This Row],[marital_Together]]=1),1,0)</f>
        <v>1</v>
      </c>
      <c r="AN1754" t="str">
        <f>IF(Table1[[#This Row],[Income]]&gt;=70000,"HIGH INCOME","LOW INCOME")</f>
        <v>LOW INCOME</v>
      </c>
      <c r="AO1754" s="1" t="str">
        <f>IF(Table1[[#This Row],[MNT_TOTAL]]&gt;=900,"HIGH VALUE","LOW VALUE")</f>
        <v>LOW VALUE</v>
      </c>
      <c r="AP17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4" s="1"/>
      <c r="AR1754" s="1"/>
    </row>
    <row r="1755" spans="1:44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36</v>
      </c>
      <c r="X1755">
        <v>2491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432</v>
      </c>
      <c r="AJ1755">
        <v>403</v>
      </c>
      <c r="AK1755">
        <v>0</v>
      </c>
      <c r="AL1755">
        <f t="shared" si="27"/>
        <v>461</v>
      </c>
      <c r="AM1755">
        <f>IF(OR(Table1[[#This Row],[marital_Married]]=1,Table1[[#This Row],[marital_Together]]=1),1,0)</f>
        <v>1</v>
      </c>
      <c r="AN1755" t="str">
        <f>IF(Table1[[#This Row],[Income]]&gt;=70000,"HIGH INCOME","LOW INCOME")</f>
        <v>LOW INCOME</v>
      </c>
      <c r="AO1755" s="1" t="str">
        <f>IF(Table1[[#This Row],[MNT_TOTAL]]&gt;=900,"HIGH VALUE","LOW VALUE")</f>
        <v>LOW VALUE</v>
      </c>
      <c r="AP17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55" s="1"/>
      <c r="AR1755" s="1"/>
    </row>
    <row r="1756" spans="1:44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41</v>
      </c>
      <c r="X1756">
        <v>2718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32</v>
      </c>
      <c r="AJ1756">
        <v>17</v>
      </c>
      <c r="AK1756">
        <v>0</v>
      </c>
      <c r="AL1756">
        <f t="shared" si="27"/>
        <v>47</v>
      </c>
      <c r="AM1756">
        <f>IF(OR(Table1[[#This Row],[marital_Married]]=1,Table1[[#This Row],[marital_Together]]=1),1,0)</f>
        <v>0</v>
      </c>
      <c r="AN1756" t="str">
        <f>IF(Table1[[#This Row],[Income]]&gt;=70000,"HIGH INCOME","LOW INCOME")</f>
        <v>LOW INCOME</v>
      </c>
      <c r="AO1756" s="1" t="str">
        <f>IF(Table1[[#This Row],[MNT_TOTAL]]&gt;=900,"HIGH VALUE","LOW VALUE")</f>
        <v>LOW VALUE</v>
      </c>
      <c r="AP17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56" s="1"/>
      <c r="AR1756" s="1"/>
    </row>
    <row r="1757" spans="1:44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44</v>
      </c>
      <c r="X1757">
        <v>2291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>
        <v>119</v>
      </c>
      <c r="AJ1757">
        <v>94</v>
      </c>
      <c r="AK1757">
        <v>0</v>
      </c>
      <c r="AL1757">
        <f t="shared" si="27"/>
        <v>144</v>
      </c>
      <c r="AM1757">
        <f>IF(OR(Table1[[#This Row],[marital_Married]]=1,Table1[[#This Row],[marital_Together]]=1),1,0)</f>
        <v>0</v>
      </c>
      <c r="AN1757" t="str">
        <f>IF(Table1[[#This Row],[Income]]&gt;=70000,"HIGH INCOME","LOW INCOME")</f>
        <v>LOW INCOME</v>
      </c>
      <c r="AO1757" s="1" t="str">
        <f>IF(Table1[[#This Row],[MNT_TOTAL]]&gt;=900,"HIGH VALUE","LOW VALUE")</f>
        <v>LOW VALUE</v>
      </c>
      <c r="AP17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57" s="1"/>
      <c r="AR1757" s="1"/>
    </row>
    <row r="1758" spans="1:44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52</v>
      </c>
      <c r="X1758">
        <v>2782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1308</v>
      </c>
      <c r="AJ1758">
        <v>1278</v>
      </c>
      <c r="AK1758">
        <v>0</v>
      </c>
      <c r="AL1758">
        <f t="shared" si="27"/>
        <v>1338</v>
      </c>
      <c r="AM1758">
        <f>IF(OR(Table1[[#This Row],[marital_Married]]=1,Table1[[#This Row],[marital_Together]]=1),1,0)</f>
        <v>1</v>
      </c>
      <c r="AN1758" t="str">
        <f>IF(Table1[[#This Row],[Income]]&gt;=70000,"HIGH INCOME","LOW INCOME")</f>
        <v>LOW INCOME</v>
      </c>
      <c r="AO1758" s="1" t="str">
        <f>IF(Table1[[#This Row],[MNT_TOTAL]]&gt;=900,"HIGH VALUE","LOW VALUE")</f>
        <v>HIGH VALUE</v>
      </c>
      <c r="AP17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58" s="1"/>
      <c r="AR1758" s="1"/>
    </row>
    <row r="1759" spans="1:44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61</v>
      </c>
      <c r="X1759">
        <v>2372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900</v>
      </c>
      <c r="AJ1759">
        <v>883</v>
      </c>
      <c r="AK1759">
        <v>0</v>
      </c>
      <c r="AL1759">
        <f t="shared" si="27"/>
        <v>917</v>
      </c>
      <c r="AM1759">
        <f>IF(OR(Table1[[#This Row],[marital_Married]]=1,Table1[[#This Row],[marital_Together]]=1),1,0)</f>
        <v>1</v>
      </c>
      <c r="AN1759" t="str">
        <f>IF(Table1[[#This Row],[Income]]&gt;=70000,"HIGH INCOME","LOW INCOME")</f>
        <v>HIGH INCOME</v>
      </c>
      <c r="AO1759" s="1" t="str">
        <f>IF(Table1[[#This Row],[MNT_TOTAL]]&gt;=900,"HIGH VALUE","LOW VALUE")</f>
        <v>HIGH VALUE</v>
      </c>
      <c r="AP17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59" s="1"/>
      <c r="AR1759" s="1"/>
    </row>
    <row r="1760" spans="1:44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49</v>
      </c>
      <c r="X1760">
        <v>2703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303</v>
      </c>
      <c r="AJ1760">
        <v>288</v>
      </c>
      <c r="AK1760">
        <v>0</v>
      </c>
      <c r="AL1760">
        <f t="shared" si="27"/>
        <v>318</v>
      </c>
      <c r="AM1760">
        <f>IF(OR(Table1[[#This Row],[marital_Married]]=1,Table1[[#This Row],[marital_Together]]=1),1,0)</f>
        <v>1</v>
      </c>
      <c r="AN1760" t="str">
        <f>IF(Table1[[#This Row],[Income]]&gt;=70000,"HIGH INCOME","LOW INCOME")</f>
        <v>LOW INCOME</v>
      </c>
      <c r="AO1760" s="1" t="str">
        <f>IF(Table1[[#This Row],[MNT_TOTAL]]&gt;=900,"HIGH VALUE","LOW VALUE")</f>
        <v>LOW VALUE</v>
      </c>
      <c r="AP17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60" s="1"/>
      <c r="AR1760" s="1"/>
    </row>
    <row r="1761" spans="1:44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53</v>
      </c>
      <c r="X1761">
        <v>2762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222</v>
      </c>
      <c r="AJ1761">
        <v>191</v>
      </c>
      <c r="AK1761">
        <v>0</v>
      </c>
      <c r="AL1761">
        <f t="shared" si="27"/>
        <v>253</v>
      </c>
      <c r="AM1761">
        <f>IF(OR(Table1[[#This Row],[marital_Married]]=1,Table1[[#This Row],[marital_Together]]=1),1,0)</f>
        <v>0</v>
      </c>
      <c r="AN1761" t="str">
        <f>IF(Table1[[#This Row],[Income]]&gt;=70000,"HIGH INCOME","LOW INCOME")</f>
        <v>LOW INCOME</v>
      </c>
      <c r="AO1761" s="1" t="str">
        <f>IF(Table1[[#This Row],[MNT_TOTAL]]&gt;=900,"HIGH VALUE","LOW VALUE")</f>
        <v>LOW VALUE</v>
      </c>
      <c r="AP17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61" s="1"/>
      <c r="AR1761" s="1"/>
    </row>
    <row r="1762" spans="1:44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47</v>
      </c>
      <c r="X1762">
        <v>2805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433</v>
      </c>
      <c r="AJ1762">
        <v>364</v>
      </c>
      <c r="AK1762">
        <v>0</v>
      </c>
      <c r="AL1762">
        <f t="shared" si="27"/>
        <v>502</v>
      </c>
      <c r="AM1762">
        <f>IF(OR(Table1[[#This Row],[marital_Married]]=1,Table1[[#This Row],[marital_Together]]=1),1,0)</f>
        <v>1</v>
      </c>
      <c r="AN1762" t="str">
        <f>IF(Table1[[#This Row],[Income]]&gt;=70000,"HIGH INCOME","LOW INCOME")</f>
        <v>LOW INCOME</v>
      </c>
      <c r="AO1762" s="1" t="str">
        <f>IF(Table1[[#This Row],[MNT_TOTAL]]&gt;=900,"HIGH VALUE","LOW VALUE")</f>
        <v>LOW VALUE</v>
      </c>
      <c r="AP17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62" s="1"/>
      <c r="AR1762" s="1"/>
    </row>
    <row r="1763" spans="1:44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37</v>
      </c>
      <c r="X1763">
        <v>2361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89</v>
      </c>
      <c r="AJ1763">
        <v>59</v>
      </c>
      <c r="AK1763">
        <v>0</v>
      </c>
      <c r="AL1763">
        <f t="shared" si="27"/>
        <v>119</v>
      </c>
      <c r="AM1763">
        <f>IF(OR(Table1[[#This Row],[marital_Married]]=1,Table1[[#This Row],[marital_Together]]=1),1,0)</f>
        <v>1</v>
      </c>
      <c r="AN1763" t="str">
        <f>IF(Table1[[#This Row],[Income]]&gt;=70000,"HIGH INCOME","LOW INCOME")</f>
        <v>LOW INCOME</v>
      </c>
      <c r="AO1763" s="1" t="str">
        <f>IF(Table1[[#This Row],[MNT_TOTAL]]&gt;=900,"HIGH VALUE","LOW VALUE")</f>
        <v>LOW VALUE</v>
      </c>
      <c r="AP17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63" s="1"/>
      <c r="AR1763" s="1"/>
    </row>
    <row r="1764" spans="1:44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41</v>
      </c>
      <c r="X1764">
        <v>2829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1122</v>
      </c>
      <c r="AJ1764">
        <v>994</v>
      </c>
      <c r="AK1764">
        <v>0</v>
      </c>
      <c r="AL1764">
        <f t="shared" si="27"/>
        <v>1250</v>
      </c>
      <c r="AM1764">
        <f>IF(OR(Table1[[#This Row],[marital_Married]]=1,Table1[[#This Row],[marital_Together]]=1),1,0)</f>
        <v>1</v>
      </c>
      <c r="AN1764" t="str">
        <f>IF(Table1[[#This Row],[Income]]&gt;=70000,"HIGH INCOME","LOW INCOME")</f>
        <v>LOW INCOME</v>
      </c>
      <c r="AO1764" s="1" t="str">
        <f>IF(Table1[[#This Row],[MNT_TOTAL]]&gt;=900,"HIGH VALUE","LOW VALUE")</f>
        <v>HIGH VALUE</v>
      </c>
      <c r="AP17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64" s="1"/>
      <c r="AR1764" s="1"/>
    </row>
    <row r="1765" spans="1:44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41</v>
      </c>
      <c r="X1765">
        <v>2398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890</v>
      </c>
      <c r="AJ1765">
        <v>811</v>
      </c>
      <c r="AK1765">
        <v>0</v>
      </c>
      <c r="AL1765">
        <f t="shared" si="27"/>
        <v>969</v>
      </c>
      <c r="AM1765">
        <f>IF(OR(Table1[[#This Row],[marital_Married]]=1,Table1[[#This Row],[marital_Together]]=1),1,0)</f>
        <v>1</v>
      </c>
      <c r="AN1765" t="str">
        <f>IF(Table1[[#This Row],[Income]]&gt;=70000,"HIGH INCOME","LOW INCOME")</f>
        <v>HIGH INCOME</v>
      </c>
      <c r="AO1765" s="1" t="str">
        <f>IF(Table1[[#This Row],[MNT_TOTAL]]&gt;=900,"HIGH VALUE","LOW VALUE")</f>
        <v>HIGH VALUE</v>
      </c>
      <c r="AP17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65" s="1"/>
      <c r="AR1765" s="1"/>
    </row>
    <row r="1766" spans="1:44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70</v>
      </c>
      <c r="X1766">
        <v>2487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59</v>
      </c>
      <c r="AJ1766">
        <v>42</v>
      </c>
      <c r="AK1766">
        <v>0</v>
      </c>
      <c r="AL1766">
        <f t="shared" si="27"/>
        <v>76</v>
      </c>
      <c r="AM1766">
        <f>IF(OR(Table1[[#This Row],[marital_Married]]=1,Table1[[#This Row],[marital_Together]]=1),1,0)</f>
        <v>1</v>
      </c>
      <c r="AN1766" t="str">
        <f>IF(Table1[[#This Row],[Income]]&gt;=70000,"HIGH INCOME","LOW INCOME")</f>
        <v>LOW INCOME</v>
      </c>
      <c r="AO1766" s="1" t="str">
        <f>IF(Table1[[#This Row],[MNT_TOTAL]]&gt;=900,"HIGH VALUE","LOW VALUE")</f>
        <v>LOW VALUE</v>
      </c>
      <c r="AP17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66" s="1"/>
      <c r="AR1766" s="1"/>
    </row>
    <row r="1767" spans="1:44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57</v>
      </c>
      <c r="X1767">
        <v>2237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>
        <v>61</v>
      </c>
      <c r="AJ1767">
        <v>60</v>
      </c>
      <c r="AK1767">
        <v>0</v>
      </c>
      <c r="AL1767">
        <f t="shared" si="27"/>
        <v>62</v>
      </c>
      <c r="AM1767">
        <f>IF(OR(Table1[[#This Row],[marital_Married]]=1,Table1[[#This Row],[marital_Together]]=1),1,0)</f>
        <v>0</v>
      </c>
      <c r="AN1767" t="str">
        <f>IF(Table1[[#This Row],[Income]]&gt;=70000,"HIGH INCOME","LOW INCOME")</f>
        <v>LOW INCOME</v>
      </c>
      <c r="AO1767" s="1" t="str">
        <f>IF(Table1[[#This Row],[MNT_TOTAL]]&gt;=900,"HIGH VALUE","LOW VALUE")</f>
        <v>LOW VALUE</v>
      </c>
      <c r="AP17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67" s="1"/>
      <c r="AR1767" s="1"/>
    </row>
    <row r="1768" spans="1:44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58</v>
      </c>
      <c r="X1768">
        <v>2477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1282</v>
      </c>
      <c r="AJ1768">
        <v>1182</v>
      </c>
      <c r="AK1768">
        <v>1</v>
      </c>
      <c r="AL1768">
        <f t="shared" si="27"/>
        <v>1382</v>
      </c>
      <c r="AM1768">
        <f>IF(OR(Table1[[#This Row],[marital_Married]]=1,Table1[[#This Row],[marital_Together]]=1),1,0)</f>
        <v>1</v>
      </c>
      <c r="AN1768" t="str">
        <f>IF(Table1[[#This Row],[Income]]&gt;=70000,"HIGH INCOME","LOW INCOME")</f>
        <v>HIGH INCOME</v>
      </c>
      <c r="AO1768" s="1" t="str">
        <f>IF(Table1[[#This Row],[MNT_TOTAL]]&gt;=900,"HIGH VALUE","LOW VALUE")</f>
        <v>HIGH VALUE</v>
      </c>
      <c r="AP17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68" s="1"/>
      <c r="AR1768" s="1"/>
    </row>
    <row r="1769" spans="1:44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44</v>
      </c>
      <c r="X1769">
        <v>2301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76</v>
      </c>
      <c r="AJ1769">
        <v>68</v>
      </c>
      <c r="AK1769">
        <v>0</v>
      </c>
      <c r="AL1769">
        <f t="shared" si="27"/>
        <v>84</v>
      </c>
      <c r="AM1769">
        <f>IF(OR(Table1[[#This Row],[marital_Married]]=1,Table1[[#This Row],[marital_Together]]=1),1,0)</f>
        <v>0</v>
      </c>
      <c r="AN1769" t="str">
        <f>IF(Table1[[#This Row],[Income]]&gt;=70000,"HIGH INCOME","LOW INCOME")</f>
        <v>LOW INCOME</v>
      </c>
      <c r="AO1769" s="1" t="str">
        <f>IF(Table1[[#This Row],[MNT_TOTAL]]&gt;=900,"HIGH VALUE","LOW VALUE")</f>
        <v>LOW VALUE</v>
      </c>
      <c r="AP17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69" s="1"/>
      <c r="AR1769" s="1"/>
    </row>
    <row r="1770" spans="1:44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68</v>
      </c>
      <c r="X1770">
        <v>2510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188</v>
      </c>
      <c r="AJ1770">
        <v>121</v>
      </c>
      <c r="AK1770">
        <v>1</v>
      </c>
      <c r="AL1770">
        <f t="shared" si="27"/>
        <v>255</v>
      </c>
      <c r="AM1770">
        <f>IF(OR(Table1[[#This Row],[marital_Married]]=1,Table1[[#This Row],[marital_Together]]=1),1,0)</f>
        <v>1</v>
      </c>
      <c r="AN1770" t="str">
        <f>IF(Table1[[#This Row],[Income]]&gt;=70000,"HIGH INCOME","LOW INCOME")</f>
        <v>LOW INCOME</v>
      </c>
      <c r="AO1770" s="1" t="str">
        <f>IF(Table1[[#This Row],[MNT_TOTAL]]&gt;=900,"HIGH VALUE","LOW VALUE")</f>
        <v>LOW VALUE</v>
      </c>
      <c r="AP17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70" s="1"/>
      <c r="AR1770" s="1"/>
    </row>
    <row r="1771" spans="1:44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60</v>
      </c>
      <c r="X1771">
        <v>2539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23</v>
      </c>
      <c r="AJ1771">
        <v>3</v>
      </c>
      <c r="AK1771">
        <v>0</v>
      </c>
      <c r="AL1771">
        <f t="shared" si="27"/>
        <v>43</v>
      </c>
      <c r="AM1771">
        <f>IF(OR(Table1[[#This Row],[marital_Married]]=1,Table1[[#This Row],[marital_Together]]=1),1,0)</f>
        <v>1</v>
      </c>
      <c r="AN1771" t="str">
        <f>IF(Table1[[#This Row],[Income]]&gt;=70000,"HIGH INCOME","LOW INCOME")</f>
        <v>LOW INCOME</v>
      </c>
      <c r="AO1771" s="1" t="str">
        <f>IF(Table1[[#This Row],[MNT_TOTAL]]&gt;=900,"HIGH VALUE","LOW VALUE")</f>
        <v>LOW VALUE</v>
      </c>
      <c r="AP17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71" s="1"/>
      <c r="AR1771" s="1"/>
    </row>
    <row r="1772" spans="1:44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65</v>
      </c>
      <c r="X1772">
        <v>2428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346</v>
      </c>
      <c r="AJ1772">
        <v>294</v>
      </c>
      <c r="AK1772">
        <v>0</v>
      </c>
      <c r="AL1772">
        <f t="shared" si="27"/>
        <v>398</v>
      </c>
      <c r="AM1772">
        <f>IF(OR(Table1[[#This Row],[marital_Married]]=1,Table1[[#This Row],[marital_Together]]=1),1,0)</f>
        <v>0</v>
      </c>
      <c r="AN1772" t="str">
        <f>IF(Table1[[#This Row],[Income]]&gt;=70000,"HIGH INCOME","LOW INCOME")</f>
        <v>LOW INCOME</v>
      </c>
      <c r="AO1772" s="1" t="str">
        <f>IF(Table1[[#This Row],[MNT_TOTAL]]&gt;=900,"HIGH VALUE","LOW VALUE")</f>
        <v>LOW VALUE</v>
      </c>
      <c r="AP17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72" s="1"/>
      <c r="AR1772" s="1"/>
    </row>
    <row r="1773" spans="1:44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43</v>
      </c>
      <c r="X1773">
        <v>2233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67</v>
      </c>
      <c r="AJ1773">
        <v>58</v>
      </c>
      <c r="AK1773">
        <v>0</v>
      </c>
      <c r="AL1773">
        <f t="shared" si="27"/>
        <v>76</v>
      </c>
      <c r="AM1773">
        <f>IF(OR(Table1[[#This Row],[marital_Married]]=1,Table1[[#This Row],[marital_Together]]=1),1,0)</f>
        <v>0</v>
      </c>
      <c r="AN1773" t="str">
        <f>IF(Table1[[#This Row],[Income]]&gt;=70000,"HIGH INCOME","LOW INCOME")</f>
        <v>LOW INCOME</v>
      </c>
      <c r="AO1773" s="1" t="str">
        <f>IF(Table1[[#This Row],[MNT_TOTAL]]&gt;=900,"HIGH VALUE","LOW VALUE")</f>
        <v>LOW VALUE</v>
      </c>
      <c r="AP17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73" s="1"/>
      <c r="AR1773" s="1"/>
    </row>
    <row r="1774" spans="1:44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56</v>
      </c>
      <c r="X1774">
        <v>2182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885</v>
      </c>
      <c r="AJ1774">
        <v>868</v>
      </c>
      <c r="AK1774">
        <v>1</v>
      </c>
      <c r="AL1774">
        <f t="shared" si="27"/>
        <v>902</v>
      </c>
      <c r="AM1774">
        <f>IF(OR(Table1[[#This Row],[marital_Married]]=1,Table1[[#This Row],[marital_Together]]=1),1,0)</f>
        <v>1</v>
      </c>
      <c r="AN1774" t="str">
        <f>IF(Table1[[#This Row],[Income]]&gt;=70000,"HIGH INCOME","LOW INCOME")</f>
        <v>LOW INCOME</v>
      </c>
      <c r="AO1774" s="1" t="str">
        <f>IF(Table1[[#This Row],[MNT_TOTAL]]&gt;=900,"HIGH VALUE","LOW VALUE")</f>
        <v>HIGH VALUE</v>
      </c>
      <c r="AP17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74" s="1"/>
      <c r="AR1774" s="1"/>
    </row>
    <row r="1775" spans="1:44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39</v>
      </c>
      <c r="X1775">
        <v>2217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767</v>
      </c>
      <c r="AJ1775">
        <v>711</v>
      </c>
      <c r="AK1775">
        <v>0</v>
      </c>
      <c r="AL1775">
        <f t="shared" si="27"/>
        <v>823</v>
      </c>
      <c r="AM1775">
        <f>IF(OR(Table1[[#This Row],[marital_Married]]=1,Table1[[#This Row],[marital_Together]]=1),1,0)</f>
        <v>1</v>
      </c>
      <c r="AN1775" t="str">
        <f>IF(Table1[[#This Row],[Income]]&gt;=70000,"HIGH INCOME","LOW INCOME")</f>
        <v>HIGH INCOME</v>
      </c>
      <c r="AO1775" s="1" t="str">
        <f>IF(Table1[[#This Row],[MNT_TOTAL]]&gt;=900,"HIGH VALUE","LOW VALUE")</f>
        <v>LOW VALUE</v>
      </c>
      <c r="AP17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75" s="1"/>
      <c r="AR1775" s="1"/>
    </row>
    <row r="1776" spans="1:44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44</v>
      </c>
      <c r="X1776">
        <v>2161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996</v>
      </c>
      <c r="AJ1776">
        <v>813</v>
      </c>
      <c r="AK1776">
        <v>0</v>
      </c>
      <c r="AL1776">
        <f t="shared" si="27"/>
        <v>1179</v>
      </c>
      <c r="AM1776">
        <f>IF(OR(Table1[[#This Row],[marital_Married]]=1,Table1[[#This Row],[marital_Together]]=1),1,0)</f>
        <v>1</v>
      </c>
      <c r="AN1776" t="str">
        <f>IF(Table1[[#This Row],[Income]]&gt;=70000,"HIGH INCOME","LOW INCOME")</f>
        <v>HIGH INCOME</v>
      </c>
      <c r="AO1776" s="1" t="str">
        <f>IF(Table1[[#This Row],[MNT_TOTAL]]&gt;=900,"HIGH VALUE","LOW VALUE")</f>
        <v>HIGH VALUE</v>
      </c>
      <c r="AP17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76" s="1"/>
      <c r="AR1776" s="1"/>
    </row>
    <row r="1777" spans="1:44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46</v>
      </c>
      <c r="X1777">
        <v>2782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1884</v>
      </c>
      <c r="AJ1777">
        <v>1847</v>
      </c>
      <c r="AK1777">
        <v>1</v>
      </c>
      <c r="AL1777">
        <f t="shared" si="27"/>
        <v>1921</v>
      </c>
      <c r="AM1777">
        <f>IF(OR(Table1[[#This Row],[marital_Married]]=1,Table1[[#This Row],[marital_Together]]=1),1,0)</f>
        <v>1</v>
      </c>
      <c r="AN1777" t="str">
        <f>IF(Table1[[#This Row],[Income]]&gt;=70000,"HIGH INCOME","LOW INCOME")</f>
        <v>HIGH INCOME</v>
      </c>
      <c r="AO1777" s="1" t="str">
        <f>IF(Table1[[#This Row],[MNT_TOTAL]]&gt;=900,"HIGH VALUE","LOW VALUE")</f>
        <v>HIGH VALUE</v>
      </c>
      <c r="AP17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77" s="1"/>
      <c r="AR1777" s="1"/>
    </row>
    <row r="1778" spans="1:44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69</v>
      </c>
      <c r="X1778">
        <v>2586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149</v>
      </c>
      <c r="AJ1778">
        <v>113</v>
      </c>
      <c r="AK1778">
        <v>0</v>
      </c>
      <c r="AL1778">
        <f t="shared" si="27"/>
        <v>185</v>
      </c>
      <c r="AM1778">
        <f>IF(OR(Table1[[#This Row],[marital_Married]]=1,Table1[[#This Row],[marital_Together]]=1),1,0)</f>
        <v>1</v>
      </c>
      <c r="AN1778" t="str">
        <f>IF(Table1[[#This Row],[Income]]&gt;=70000,"HIGH INCOME","LOW INCOME")</f>
        <v>LOW INCOME</v>
      </c>
      <c r="AO1778" s="1" t="str">
        <f>IF(Table1[[#This Row],[MNT_TOTAL]]&gt;=900,"HIGH VALUE","LOW VALUE")</f>
        <v>LOW VALUE</v>
      </c>
      <c r="AP17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78" s="1"/>
      <c r="AR1778" s="1"/>
    </row>
    <row r="1779" spans="1:44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54</v>
      </c>
      <c r="X1779">
        <v>2625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394</v>
      </c>
      <c r="AJ1779">
        <v>355</v>
      </c>
      <c r="AK1779">
        <v>0</v>
      </c>
      <c r="AL1779">
        <f t="shared" si="27"/>
        <v>433</v>
      </c>
      <c r="AM1779">
        <f>IF(OR(Table1[[#This Row],[marital_Married]]=1,Table1[[#This Row],[marital_Together]]=1),1,0)</f>
        <v>0</v>
      </c>
      <c r="AN1779" t="str">
        <f>IF(Table1[[#This Row],[Income]]&gt;=70000,"HIGH INCOME","LOW INCOME")</f>
        <v>LOW INCOME</v>
      </c>
      <c r="AO1779" s="1" t="str">
        <f>IF(Table1[[#This Row],[MNT_TOTAL]]&gt;=900,"HIGH VALUE","LOW VALUE")</f>
        <v>LOW VALUE</v>
      </c>
      <c r="AP17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79" s="1"/>
      <c r="AR1779" s="1"/>
    </row>
    <row r="1780" spans="1:44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69</v>
      </c>
      <c r="X1780">
        <v>2329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23</v>
      </c>
      <c r="AJ1780">
        <v>12</v>
      </c>
      <c r="AK1780">
        <v>1</v>
      </c>
      <c r="AL1780">
        <f t="shared" si="27"/>
        <v>34</v>
      </c>
      <c r="AM1780">
        <f>IF(OR(Table1[[#This Row],[marital_Married]]=1,Table1[[#This Row],[marital_Together]]=1),1,0)</f>
        <v>1</v>
      </c>
      <c r="AN1780" t="str">
        <f>IF(Table1[[#This Row],[Income]]&gt;=70000,"HIGH INCOME","LOW INCOME")</f>
        <v>LOW INCOME</v>
      </c>
      <c r="AO1780" s="1" t="str">
        <f>IF(Table1[[#This Row],[MNT_TOTAL]]&gt;=900,"HIGH VALUE","LOW VALUE")</f>
        <v>LOW VALUE</v>
      </c>
      <c r="AP17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80" s="1"/>
      <c r="AR1780" s="1"/>
    </row>
    <row r="1781" spans="1:44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62</v>
      </c>
      <c r="X1781">
        <v>2545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825</v>
      </c>
      <c r="AJ1781">
        <v>743</v>
      </c>
      <c r="AK1781">
        <v>0</v>
      </c>
      <c r="AL1781">
        <f t="shared" si="27"/>
        <v>907</v>
      </c>
      <c r="AM1781">
        <f>IF(OR(Table1[[#This Row],[marital_Married]]=1,Table1[[#This Row],[marital_Together]]=1),1,0)</f>
        <v>1</v>
      </c>
      <c r="AN1781" t="str">
        <f>IF(Table1[[#This Row],[Income]]&gt;=70000,"HIGH INCOME","LOW INCOME")</f>
        <v>LOW INCOME</v>
      </c>
      <c r="AO1781" s="1" t="str">
        <f>IF(Table1[[#This Row],[MNT_TOTAL]]&gt;=900,"HIGH VALUE","LOW VALUE")</f>
        <v>HIGH VALUE</v>
      </c>
      <c r="AP17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1" s="1"/>
      <c r="AR1781" s="1"/>
    </row>
    <row r="1782" spans="1:44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2363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125</v>
      </c>
      <c r="AJ1782">
        <v>-166</v>
      </c>
      <c r="AK1782">
        <v>0</v>
      </c>
      <c r="AL1782">
        <f t="shared" si="27"/>
        <v>416</v>
      </c>
      <c r="AM1782">
        <f>IF(OR(Table1[[#This Row],[marital_Married]]=1,Table1[[#This Row],[marital_Together]]=1),1,0)</f>
        <v>0</v>
      </c>
      <c r="AN1782" t="str">
        <f>IF(Table1[[#This Row],[Income]]&gt;=70000,"HIGH INCOME","LOW INCOME")</f>
        <v>LOW INCOME</v>
      </c>
      <c r="AO1782" s="1" t="str">
        <f>IF(Table1[[#This Row],[MNT_TOTAL]]&gt;=900,"HIGH VALUE","LOW VALUE")</f>
        <v>LOW VALUE</v>
      </c>
      <c r="AP17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2" s="1"/>
      <c r="AR1782" s="1"/>
    </row>
    <row r="1783" spans="1:44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56</v>
      </c>
      <c r="X1783">
        <v>2549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34</v>
      </c>
      <c r="AJ1783">
        <v>24</v>
      </c>
      <c r="AK1783">
        <v>0</v>
      </c>
      <c r="AL1783">
        <f t="shared" si="27"/>
        <v>44</v>
      </c>
      <c r="AM1783">
        <f>IF(OR(Table1[[#This Row],[marital_Married]]=1,Table1[[#This Row],[marital_Together]]=1),1,0)</f>
        <v>0</v>
      </c>
      <c r="AN1783" t="str">
        <f>IF(Table1[[#This Row],[Income]]&gt;=70000,"HIGH INCOME","LOW INCOME")</f>
        <v>LOW INCOME</v>
      </c>
      <c r="AO1783" s="1" t="str">
        <f>IF(Table1[[#This Row],[MNT_TOTAL]]&gt;=900,"HIGH VALUE","LOW VALUE")</f>
        <v>LOW VALUE</v>
      </c>
      <c r="AP17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3" s="1"/>
      <c r="AR1783" s="1"/>
    </row>
    <row r="1784" spans="1:44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64</v>
      </c>
      <c r="X1784">
        <v>2221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1571</v>
      </c>
      <c r="AJ1784">
        <v>1554</v>
      </c>
      <c r="AK1784">
        <v>0</v>
      </c>
      <c r="AL1784">
        <f t="shared" si="27"/>
        <v>1588</v>
      </c>
      <c r="AM1784">
        <f>IF(OR(Table1[[#This Row],[marital_Married]]=1,Table1[[#This Row],[marital_Together]]=1),1,0)</f>
        <v>1</v>
      </c>
      <c r="AN1784" t="str">
        <f>IF(Table1[[#This Row],[Income]]&gt;=70000,"HIGH INCOME","LOW INCOME")</f>
        <v>HIGH INCOME</v>
      </c>
      <c r="AO1784" s="1" t="str">
        <f>IF(Table1[[#This Row],[MNT_TOTAL]]&gt;=900,"HIGH VALUE","LOW VALUE")</f>
        <v>HIGH VALUE</v>
      </c>
      <c r="AP17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84" s="1"/>
      <c r="AR1784" s="1"/>
    </row>
    <row r="1785" spans="1:44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46</v>
      </c>
      <c r="X1785">
        <v>2760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1760</v>
      </c>
      <c r="AJ1785">
        <v>1723</v>
      </c>
      <c r="AK1785">
        <v>1</v>
      </c>
      <c r="AL1785">
        <f t="shared" si="27"/>
        <v>1797</v>
      </c>
      <c r="AM1785">
        <f>IF(OR(Table1[[#This Row],[marital_Married]]=1,Table1[[#This Row],[marital_Together]]=1),1,0)</f>
        <v>0</v>
      </c>
      <c r="AN1785" t="str">
        <f>IF(Table1[[#This Row],[Income]]&gt;=70000,"HIGH INCOME","LOW INCOME")</f>
        <v>LOW INCOME</v>
      </c>
      <c r="AO1785" s="1" t="str">
        <f>IF(Table1[[#This Row],[MNT_TOTAL]]&gt;=900,"HIGH VALUE","LOW VALUE")</f>
        <v>HIGH VALUE</v>
      </c>
      <c r="AP17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5" s="1"/>
      <c r="AR1785" s="1"/>
    </row>
    <row r="1786" spans="1:44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2792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39</v>
      </c>
      <c r="AJ1786">
        <v>38</v>
      </c>
      <c r="AK1786">
        <v>0</v>
      </c>
      <c r="AL1786">
        <f t="shared" si="27"/>
        <v>40</v>
      </c>
      <c r="AM1786">
        <f>IF(OR(Table1[[#This Row],[marital_Married]]=1,Table1[[#This Row],[marital_Together]]=1),1,0)</f>
        <v>1</v>
      </c>
      <c r="AN1786" t="str">
        <f>IF(Table1[[#This Row],[Income]]&gt;=70000,"HIGH INCOME","LOW INCOME")</f>
        <v>LOW INCOME</v>
      </c>
      <c r="AO1786" s="1" t="str">
        <f>IF(Table1[[#This Row],[MNT_TOTAL]]&gt;=900,"HIGH VALUE","LOW VALUE")</f>
        <v>LOW VALUE</v>
      </c>
      <c r="AP17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86" s="1"/>
      <c r="AR1786" s="1"/>
    </row>
    <row r="1787" spans="1:44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57</v>
      </c>
      <c r="X1787">
        <v>2749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1021</v>
      </c>
      <c r="AJ1787">
        <v>899</v>
      </c>
      <c r="AK1787">
        <v>0</v>
      </c>
      <c r="AL1787">
        <f t="shared" si="27"/>
        <v>1143</v>
      </c>
      <c r="AM1787">
        <f>IF(OR(Table1[[#This Row],[marital_Married]]=1,Table1[[#This Row],[marital_Together]]=1),1,0)</f>
        <v>0</v>
      </c>
      <c r="AN1787" t="str">
        <f>IF(Table1[[#This Row],[Income]]&gt;=70000,"HIGH INCOME","LOW INCOME")</f>
        <v>LOW INCOME</v>
      </c>
      <c r="AO1787" s="1" t="str">
        <f>IF(Table1[[#This Row],[MNT_TOTAL]]&gt;=900,"HIGH VALUE","LOW VALUE")</f>
        <v>HIGH VALUE</v>
      </c>
      <c r="AP17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7" s="1"/>
      <c r="AR1787" s="1"/>
    </row>
    <row r="1788" spans="1:44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51</v>
      </c>
      <c r="X1788">
        <v>2160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897</v>
      </c>
      <c r="AJ1788">
        <v>880</v>
      </c>
      <c r="AK1788">
        <v>1</v>
      </c>
      <c r="AL1788">
        <f t="shared" si="27"/>
        <v>914</v>
      </c>
      <c r="AM1788">
        <f>IF(OR(Table1[[#This Row],[marital_Married]]=1,Table1[[#This Row],[marital_Together]]=1),1,0)</f>
        <v>1</v>
      </c>
      <c r="AN1788" t="str">
        <f>IF(Table1[[#This Row],[Income]]&gt;=70000,"HIGH INCOME","LOW INCOME")</f>
        <v>HIGH INCOME</v>
      </c>
      <c r="AO1788" s="1" t="str">
        <f>IF(Table1[[#This Row],[MNT_TOTAL]]&gt;=900,"HIGH VALUE","LOW VALUE")</f>
        <v>HIGH VALUE</v>
      </c>
      <c r="AP17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788" s="1"/>
      <c r="AR1788" s="1"/>
    </row>
    <row r="1789" spans="1:44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28</v>
      </c>
      <c r="X1789">
        <v>2684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1432</v>
      </c>
      <c r="AJ1789">
        <v>1362</v>
      </c>
      <c r="AK1789">
        <v>1</v>
      </c>
      <c r="AL1789">
        <f t="shared" si="27"/>
        <v>1502</v>
      </c>
      <c r="AM1789">
        <f>IF(OR(Table1[[#This Row],[marital_Married]]=1,Table1[[#This Row],[marital_Together]]=1),1,0)</f>
        <v>1</v>
      </c>
      <c r="AN1789" t="str">
        <f>IF(Table1[[#This Row],[Income]]&gt;=70000,"HIGH INCOME","LOW INCOME")</f>
        <v>LOW INCOME</v>
      </c>
      <c r="AO1789" s="1" t="str">
        <f>IF(Table1[[#This Row],[MNT_TOTAL]]&gt;=900,"HIGH VALUE","LOW VALUE")</f>
        <v>HIGH VALUE</v>
      </c>
      <c r="AP17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89" s="1"/>
      <c r="AR1789" s="1"/>
    </row>
    <row r="1790" spans="1:44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66</v>
      </c>
      <c r="X1790">
        <v>2659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1188</v>
      </c>
      <c r="AJ1790">
        <v>1038</v>
      </c>
      <c r="AK1790">
        <v>0</v>
      </c>
      <c r="AL1790">
        <f t="shared" si="27"/>
        <v>1338</v>
      </c>
      <c r="AM1790">
        <f>IF(OR(Table1[[#This Row],[marital_Married]]=1,Table1[[#This Row],[marital_Together]]=1),1,0)</f>
        <v>0</v>
      </c>
      <c r="AN1790" t="str">
        <f>IF(Table1[[#This Row],[Income]]&gt;=70000,"HIGH INCOME","LOW INCOME")</f>
        <v>HIGH INCOME</v>
      </c>
      <c r="AO1790" s="1" t="str">
        <f>IF(Table1[[#This Row],[MNT_TOTAL]]&gt;=900,"HIGH VALUE","LOW VALUE")</f>
        <v>HIGH VALUE</v>
      </c>
      <c r="AP17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790" s="1"/>
      <c r="AR1790" s="1"/>
    </row>
    <row r="1791" spans="1:44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37</v>
      </c>
      <c r="X1791">
        <v>2502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26</v>
      </c>
      <c r="AJ1791">
        <v>25</v>
      </c>
      <c r="AK1791">
        <v>0</v>
      </c>
      <c r="AL1791">
        <f t="shared" si="27"/>
        <v>27</v>
      </c>
      <c r="AM1791">
        <f>IF(OR(Table1[[#This Row],[marital_Married]]=1,Table1[[#This Row],[marital_Together]]=1),1,0)</f>
        <v>1</v>
      </c>
      <c r="AN1791" t="str">
        <f>IF(Table1[[#This Row],[Income]]&gt;=70000,"HIGH INCOME","LOW INCOME")</f>
        <v>LOW INCOME</v>
      </c>
      <c r="AO1791" s="1" t="str">
        <f>IF(Table1[[#This Row],[MNT_TOTAL]]&gt;=900,"HIGH VALUE","LOW VALUE")</f>
        <v>LOW VALUE</v>
      </c>
      <c r="AP17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1" s="1"/>
      <c r="AR1791" s="1"/>
    </row>
    <row r="1792" spans="1:44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38</v>
      </c>
      <c r="X1792">
        <v>2433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721</v>
      </c>
      <c r="AJ1792">
        <v>679</v>
      </c>
      <c r="AK1792">
        <v>1</v>
      </c>
      <c r="AL1792">
        <f t="shared" si="27"/>
        <v>763</v>
      </c>
      <c r="AM1792">
        <f>IF(OR(Table1[[#This Row],[marital_Married]]=1,Table1[[#This Row],[marital_Together]]=1),1,0)</f>
        <v>1</v>
      </c>
      <c r="AN1792" t="str">
        <f>IF(Table1[[#This Row],[Income]]&gt;=70000,"HIGH INCOME","LOW INCOME")</f>
        <v>LOW INCOME</v>
      </c>
      <c r="AO1792" s="1" t="str">
        <f>IF(Table1[[#This Row],[MNT_TOTAL]]&gt;=900,"HIGH VALUE","LOW VALUE")</f>
        <v>LOW VALUE</v>
      </c>
      <c r="AP17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2" s="1"/>
      <c r="AR1792" s="1"/>
    </row>
    <row r="1793" spans="1:44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69</v>
      </c>
      <c r="X1793">
        <v>2504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1178</v>
      </c>
      <c r="AJ1793">
        <v>1025</v>
      </c>
      <c r="AK1793">
        <v>0</v>
      </c>
      <c r="AL1793">
        <f t="shared" si="27"/>
        <v>1331</v>
      </c>
      <c r="AM1793">
        <f>IF(OR(Table1[[#This Row],[marital_Married]]=1,Table1[[#This Row],[marital_Together]]=1),1,0)</f>
        <v>0</v>
      </c>
      <c r="AN1793" t="str">
        <f>IF(Table1[[#This Row],[Income]]&gt;=70000,"HIGH INCOME","LOW INCOME")</f>
        <v>HIGH INCOME</v>
      </c>
      <c r="AO1793" s="1" t="str">
        <f>IF(Table1[[#This Row],[MNT_TOTAL]]&gt;=900,"HIGH VALUE","LOW VALUE")</f>
        <v>HIGH VALUE</v>
      </c>
      <c r="AP17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793" s="1"/>
      <c r="AR1793" s="1"/>
    </row>
    <row r="1794" spans="1:44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64</v>
      </c>
      <c r="X1794">
        <v>2461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491</v>
      </c>
      <c r="AJ1794">
        <v>457</v>
      </c>
      <c r="AK1794">
        <v>0</v>
      </c>
      <c r="AL1794">
        <f t="shared" ref="AL1794:AL1857" si="28">SUM(E1794:J1794)</f>
        <v>525</v>
      </c>
      <c r="AM1794">
        <f>IF(OR(Table1[[#This Row],[marital_Married]]=1,Table1[[#This Row],[marital_Together]]=1),1,0)</f>
        <v>1</v>
      </c>
      <c r="AN1794" t="str">
        <f>IF(Table1[[#This Row],[Income]]&gt;=70000,"HIGH INCOME","LOW INCOME")</f>
        <v>LOW INCOME</v>
      </c>
      <c r="AO1794" s="1" t="str">
        <f>IF(Table1[[#This Row],[MNT_TOTAL]]&gt;=900,"HIGH VALUE","LOW VALUE")</f>
        <v>LOW VALUE</v>
      </c>
      <c r="AP17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4" s="1"/>
      <c r="AR1794" s="1"/>
    </row>
    <row r="1795" spans="1:44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59</v>
      </c>
      <c r="X1795">
        <v>2173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8</v>
      </c>
      <c r="AJ1795">
        <v>7</v>
      </c>
      <c r="AK1795">
        <v>0</v>
      </c>
      <c r="AL1795">
        <f t="shared" si="28"/>
        <v>9</v>
      </c>
      <c r="AM1795">
        <f>IF(OR(Table1[[#This Row],[marital_Married]]=1,Table1[[#This Row],[marital_Together]]=1),1,0)</f>
        <v>1</v>
      </c>
      <c r="AN1795" t="str">
        <f>IF(Table1[[#This Row],[Income]]&gt;=70000,"HIGH INCOME","LOW INCOME")</f>
        <v>LOW INCOME</v>
      </c>
      <c r="AO1795" s="1" t="str">
        <f>IF(Table1[[#This Row],[MNT_TOTAL]]&gt;=900,"HIGH VALUE","LOW VALUE")</f>
        <v>LOW VALUE</v>
      </c>
      <c r="AP17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5" s="1"/>
      <c r="AR1795" s="1"/>
    </row>
    <row r="1796" spans="1:44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58</v>
      </c>
      <c r="X1796">
        <v>2242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892</v>
      </c>
      <c r="AJ1796">
        <v>831</v>
      </c>
      <c r="AK1796">
        <v>1</v>
      </c>
      <c r="AL1796">
        <f t="shared" si="28"/>
        <v>953</v>
      </c>
      <c r="AM1796">
        <f>IF(OR(Table1[[#This Row],[marital_Married]]=1,Table1[[#This Row],[marital_Together]]=1),1,0)</f>
        <v>1</v>
      </c>
      <c r="AN1796" t="str">
        <f>IF(Table1[[#This Row],[Income]]&gt;=70000,"HIGH INCOME","LOW INCOME")</f>
        <v>LOW INCOME</v>
      </c>
      <c r="AO1796" s="1" t="str">
        <f>IF(Table1[[#This Row],[MNT_TOTAL]]&gt;=900,"HIGH VALUE","LOW VALUE")</f>
        <v>HIGH VALUE</v>
      </c>
      <c r="AP17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96" s="1"/>
      <c r="AR1796" s="1"/>
    </row>
    <row r="1797" spans="1:44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49</v>
      </c>
      <c r="X1797">
        <v>2420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65</v>
      </c>
      <c r="AJ1797">
        <v>62</v>
      </c>
      <c r="AK1797">
        <v>0</v>
      </c>
      <c r="AL1797">
        <f t="shared" si="28"/>
        <v>68</v>
      </c>
      <c r="AM1797">
        <f>IF(OR(Table1[[#This Row],[marital_Married]]=1,Table1[[#This Row],[marital_Together]]=1),1,0)</f>
        <v>0</v>
      </c>
      <c r="AN1797" t="str">
        <f>IF(Table1[[#This Row],[Income]]&gt;=70000,"HIGH INCOME","LOW INCOME")</f>
        <v>LOW INCOME</v>
      </c>
      <c r="AO1797" s="1" t="str">
        <f>IF(Table1[[#This Row],[MNT_TOTAL]]&gt;=900,"HIGH VALUE","LOW VALUE")</f>
        <v>LOW VALUE</v>
      </c>
      <c r="AP17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97" s="1"/>
      <c r="AR1797" s="1"/>
    </row>
    <row r="1798" spans="1:44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49</v>
      </c>
      <c r="X1798">
        <v>2427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119</v>
      </c>
      <c r="AJ1798">
        <v>107</v>
      </c>
      <c r="AK1798">
        <v>0</v>
      </c>
      <c r="AL1798">
        <f t="shared" si="28"/>
        <v>131</v>
      </c>
      <c r="AM1798">
        <f>IF(OR(Table1[[#This Row],[marital_Married]]=1,Table1[[#This Row],[marital_Together]]=1),1,0)</f>
        <v>0</v>
      </c>
      <c r="AN1798" t="str">
        <f>IF(Table1[[#This Row],[Income]]&gt;=70000,"HIGH INCOME","LOW INCOME")</f>
        <v>LOW INCOME</v>
      </c>
      <c r="AO1798" s="1" t="str">
        <f>IF(Table1[[#This Row],[MNT_TOTAL]]&gt;=900,"HIGH VALUE","LOW VALUE")</f>
        <v>LOW VALUE</v>
      </c>
      <c r="AP17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798" s="1"/>
      <c r="AR1798" s="1"/>
    </row>
    <row r="1799" spans="1:44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52</v>
      </c>
      <c r="X1799">
        <v>2483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720</v>
      </c>
      <c r="AJ1799">
        <v>558</v>
      </c>
      <c r="AK1799">
        <v>0</v>
      </c>
      <c r="AL1799">
        <f t="shared" si="28"/>
        <v>882</v>
      </c>
      <c r="AM1799">
        <f>IF(OR(Table1[[#This Row],[marital_Married]]=1,Table1[[#This Row],[marital_Together]]=1),1,0)</f>
        <v>1</v>
      </c>
      <c r="AN1799" t="str">
        <f>IF(Table1[[#This Row],[Income]]&gt;=70000,"HIGH INCOME","LOW INCOME")</f>
        <v>LOW INCOME</v>
      </c>
      <c r="AO1799" s="1" t="str">
        <f>IF(Table1[[#This Row],[MNT_TOTAL]]&gt;=900,"HIGH VALUE","LOW VALUE")</f>
        <v>LOW VALUE</v>
      </c>
      <c r="AP17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799" s="1"/>
      <c r="AR1799" s="1"/>
    </row>
    <row r="1800" spans="1:44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42</v>
      </c>
      <c r="X1800">
        <v>2822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917</v>
      </c>
      <c r="AJ1800">
        <v>685</v>
      </c>
      <c r="AK1800">
        <v>0</v>
      </c>
      <c r="AL1800">
        <f t="shared" si="28"/>
        <v>1149</v>
      </c>
      <c r="AM1800">
        <f>IF(OR(Table1[[#This Row],[marital_Married]]=1,Table1[[#This Row],[marital_Together]]=1),1,0)</f>
        <v>1</v>
      </c>
      <c r="AN1800" t="str">
        <f>IF(Table1[[#This Row],[Income]]&gt;=70000,"HIGH INCOME","LOW INCOME")</f>
        <v>LOW INCOME</v>
      </c>
      <c r="AO1800" s="1" t="str">
        <f>IF(Table1[[#This Row],[MNT_TOTAL]]&gt;=900,"HIGH VALUE","LOW VALUE")</f>
        <v>HIGH VALUE</v>
      </c>
      <c r="AP18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00" s="1"/>
      <c r="AR1800" s="1"/>
    </row>
    <row r="1801" spans="1:44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51</v>
      </c>
      <c r="X1801">
        <v>2446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28</v>
      </c>
      <c r="AJ1801">
        <v>19</v>
      </c>
      <c r="AK1801">
        <v>0</v>
      </c>
      <c r="AL1801">
        <f t="shared" si="28"/>
        <v>37</v>
      </c>
      <c r="AM1801">
        <f>IF(OR(Table1[[#This Row],[marital_Married]]=1,Table1[[#This Row],[marital_Together]]=1),1,0)</f>
        <v>1</v>
      </c>
      <c r="AN1801" t="str">
        <f>IF(Table1[[#This Row],[Income]]&gt;=70000,"HIGH INCOME","LOW INCOME")</f>
        <v>LOW INCOME</v>
      </c>
      <c r="AO1801" s="1" t="str">
        <f>IF(Table1[[#This Row],[MNT_TOTAL]]&gt;=900,"HIGH VALUE","LOW VALUE")</f>
        <v>LOW VALUE</v>
      </c>
      <c r="AP18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01" s="1"/>
      <c r="AR1801" s="1"/>
    </row>
    <row r="1802" spans="1:44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55</v>
      </c>
      <c r="X1802">
        <v>2467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338</v>
      </c>
      <c r="AJ1802">
        <v>288</v>
      </c>
      <c r="AK1802">
        <v>0</v>
      </c>
      <c r="AL1802">
        <f t="shared" si="28"/>
        <v>388</v>
      </c>
      <c r="AM1802">
        <f>IF(OR(Table1[[#This Row],[marital_Married]]=1,Table1[[#This Row],[marital_Together]]=1),1,0)</f>
        <v>0</v>
      </c>
      <c r="AN1802" t="str">
        <f>IF(Table1[[#This Row],[Income]]&gt;=70000,"HIGH INCOME","LOW INCOME")</f>
        <v>LOW INCOME</v>
      </c>
      <c r="AO1802" s="1" t="str">
        <f>IF(Table1[[#This Row],[MNT_TOTAL]]&gt;=900,"HIGH VALUE","LOW VALUE")</f>
        <v>LOW VALUE</v>
      </c>
      <c r="AP18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02" s="1"/>
      <c r="AR1802" s="1"/>
    </row>
    <row r="1803" spans="1:44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34</v>
      </c>
      <c r="X1803">
        <v>2658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1262</v>
      </c>
      <c r="AJ1803">
        <v>1096</v>
      </c>
      <c r="AK1803">
        <v>0</v>
      </c>
      <c r="AL1803">
        <f t="shared" si="28"/>
        <v>1428</v>
      </c>
      <c r="AM1803">
        <f>IF(OR(Table1[[#This Row],[marital_Married]]=1,Table1[[#This Row],[marital_Together]]=1),1,0)</f>
        <v>1</v>
      </c>
      <c r="AN1803" t="str">
        <f>IF(Table1[[#This Row],[Income]]&gt;=70000,"HIGH INCOME","LOW INCOME")</f>
        <v>HIGH INCOME</v>
      </c>
      <c r="AO1803" s="1" t="str">
        <f>IF(Table1[[#This Row],[MNT_TOTAL]]&gt;=900,"HIGH VALUE","LOW VALUE")</f>
        <v>HIGH VALUE</v>
      </c>
      <c r="AP18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03" s="1"/>
      <c r="AR1803" s="1"/>
    </row>
    <row r="1804" spans="1:44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62</v>
      </c>
      <c r="X1804">
        <v>2561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1541</v>
      </c>
      <c r="AJ1804">
        <v>1449</v>
      </c>
      <c r="AK1804">
        <v>0</v>
      </c>
      <c r="AL1804">
        <f t="shared" si="28"/>
        <v>1633</v>
      </c>
      <c r="AM1804">
        <f>IF(OR(Table1[[#This Row],[marital_Married]]=1,Table1[[#This Row],[marital_Together]]=1),1,0)</f>
        <v>1</v>
      </c>
      <c r="AN1804" t="str">
        <f>IF(Table1[[#This Row],[Income]]&gt;=70000,"HIGH INCOME","LOW INCOME")</f>
        <v>HIGH INCOME</v>
      </c>
      <c r="AO1804" s="1" t="str">
        <f>IF(Table1[[#This Row],[MNT_TOTAL]]&gt;=900,"HIGH VALUE","LOW VALUE")</f>
        <v>HIGH VALUE</v>
      </c>
      <c r="AP18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04" s="1"/>
      <c r="AR1804" s="1"/>
    </row>
    <row r="1805" spans="1:44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45</v>
      </c>
      <c r="X1805">
        <v>2562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125</v>
      </c>
      <c r="AJ1805">
        <v>77</v>
      </c>
      <c r="AK1805">
        <v>0</v>
      </c>
      <c r="AL1805">
        <f t="shared" si="28"/>
        <v>173</v>
      </c>
      <c r="AM1805">
        <f>IF(OR(Table1[[#This Row],[marital_Married]]=1,Table1[[#This Row],[marital_Together]]=1),1,0)</f>
        <v>1</v>
      </c>
      <c r="AN1805" t="str">
        <f>IF(Table1[[#This Row],[Income]]&gt;=70000,"HIGH INCOME","LOW INCOME")</f>
        <v>LOW INCOME</v>
      </c>
      <c r="AO1805" s="1" t="str">
        <f>IF(Table1[[#This Row],[MNT_TOTAL]]&gt;=900,"HIGH VALUE","LOW VALUE")</f>
        <v>LOW VALUE</v>
      </c>
      <c r="AP18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05" s="1"/>
      <c r="AR1805" s="1"/>
    </row>
    <row r="1806" spans="1:44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33</v>
      </c>
      <c r="X1806">
        <v>2423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90</v>
      </c>
      <c r="AJ1806">
        <v>81</v>
      </c>
      <c r="AK1806">
        <v>0</v>
      </c>
      <c r="AL1806">
        <f t="shared" si="28"/>
        <v>99</v>
      </c>
      <c r="AM1806">
        <f>IF(OR(Table1[[#This Row],[marital_Married]]=1,Table1[[#This Row],[marital_Together]]=1),1,0)</f>
        <v>0</v>
      </c>
      <c r="AN1806" t="str">
        <f>IF(Table1[[#This Row],[Income]]&gt;=70000,"HIGH INCOME","LOW INCOME")</f>
        <v>LOW INCOME</v>
      </c>
      <c r="AO1806" s="1" t="str">
        <f>IF(Table1[[#This Row],[MNT_TOTAL]]&gt;=900,"HIGH VALUE","LOW VALUE")</f>
        <v>LOW VALUE</v>
      </c>
      <c r="AP18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06" s="1"/>
      <c r="AR1806" s="1"/>
    </row>
    <row r="1807" spans="1:44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61</v>
      </c>
      <c r="X1807">
        <v>2630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184</v>
      </c>
      <c r="AJ1807">
        <v>153</v>
      </c>
      <c r="AK1807">
        <v>0</v>
      </c>
      <c r="AL1807">
        <f t="shared" si="28"/>
        <v>215</v>
      </c>
      <c r="AM1807">
        <f>IF(OR(Table1[[#This Row],[marital_Married]]=1,Table1[[#This Row],[marital_Together]]=1),1,0)</f>
        <v>1</v>
      </c>
      <c r="AN1807" t="str">
        <f>IF(Table1[[#This Row],[Income]]&gt;=70000,"HIGH INCOME","LOW INCOME")</f>
        <v>LOW INCOME</v>
      </c>
      <c r="AO1807" s="1" t="str">
        <f>IF(Table1[[#This Row],[MNT_TOTAL]]&gt;=900,"HIGH VALUE","LOW VALUE")</f>
        <v>LOW VALUE</v>
      </c>
      <c r="AP18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07" s="1"/>
      <c r="AR1807" s="1"/>
    </row>
    <row r="1808" spans="1:44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58</v>
      </c>
      <c r="X1808">
        <v>2656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894</v>
      </c>
      <c r="AJ1808">
        <v>859</v>
      </c>
      <c r="AK1808">
        <v>0</v>
      </c>
      <c r="AL1808">
        <f t="shared" si="28"/>
        <v>929</v>
      </c>
      <c r="AM1808">
        <f>IF(OR(Table1[[#This Row],[marital_Married]]=1,Table1[[#This Row],[marital_Together]]=1),1,0)</f>
        <v>1</v>
      </c>
      <c r="AN1808" t="str">
        <f>IF(Table1[[#This Row],[Income]]&gt;=70000,"HIGH INCOME","LOW INCOME")</f>
        <v>LOW INCOME</v>
      </c>
      <c r="AO1808" s="1" t="str">
        <f>IF(Table1[[#This Row],[MNT_TOTAL]]&gt;=900,"HIGH VALUE","LOW VALUE")</f>
        <v>HIGH VALUE</v>
      </c>
      <c r="AP18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08" s="1"/>
      <c r="AR1808" s="1"/>
    </row>
    <row r="1809" spans="1:44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46</v>
      </c>
      <c r="X1809">
        <v>2260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185</v>
      </c>
      <c r="AJ1809">
        <v>151</v>
      </c>
      <c r="AK1809">
        <v>0</v>
      </c>
      <c r="AL1809">
        <f t="shared" si="28"/>
        <v>219</v>
      </c>
      <c r="AM1809">
        <f>IF(OR(Table1[[#This Row],[marital_Married]]=1,Table1[[#This Row],[marital_Together]]=1),1,0)</f>
        <v>1</v>
      </c>
      <c r="AN1809" t="str">
        <f>IF(Table1[[#This Row],[Income]]&gt;=70000,"HIGH INCOME","LOW INCOME")</f>
        <v>LOW INCOME</v>
      </c>
      <c r="AO1809" s="1" t="str">
        <f>IF(Table1[[#This Row],[MNT_TOTAL]]&gt;=900,"HIGH VALUE","LOW VALUE")</f>
        <v>LOW VALUE</v>
      </c>
      <c r="AP18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09" s="1"/>
      <c r="AR1809" s="1"/>
    </row>
    <row r="1810" spans="1:44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43</v>
      </c>
      <c r="X1810">
        <v>2450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152</v>
      </c>
      <c r="AJ1810">
        <v>130</v>
      </c>
      <c r="AK1810">
        <v>0</v>
      </c>
      <c r="AL1810">
        <f t="shared" si="28"/>
        <v>174</v>
      </c>
      <c r="AM1810">
        <f>IF(OR(Table1[[#This Row],[marital_Married]]=1,Table1[[#This Row],[marital_Together]]=1),1,0)</f>
        <v>1</v>
      </c>
      <c r="AN1810" t="str">
        <f>IF(Table1[[#This Row],[Income]]&gt;=70000,"HIGH INCOME","LOW INCOME")</f>
        <v>LOW INCOME</v>
      </c>
      <c r="AO1810" s="1" t="str">
        <f>IF(Table1[[#This Row],[MNT_TOTAL]]&gt;=900,"HIGH VALUE","LOW VALUE")</f>
        <v>LOW VALUE</v>
      </c>
      <c r="AP18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10" s="1"/>
      <c r="AR1810" s="1"/>
    </row>
    <row r="1811" spans="1:44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42</v>
      </c>
      <c r="X1811">
        <v>2725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89</v>
      </c>
      <c r="AJ1811">
        <v>86</v>
      </c>
      <c r="AK1811">
        <v>0</v>
      </c>
      <c r="AL1811">
        <f t="shared" si="28"/>
        <v>92</v>
      </c>
      <c r="AM1811">
        <f>IF(OR(Table1[[#This Row],[marital_Married]]=1,Table1[[#This Row],[marital_Together]]=1),1,0)</f>
        <v>1</v>
      </c>
      <c r="AN1811" t="str">
        <f>IF(Table1[[#This Row],[Income]]&gt;=70000,"HIGH INCOME","LOW INCOME")</f>
        <v>LOW INCOME</v>
      </c>
      <c r="AO1811" s="1" t="str">
        <f>IF(Table1[[#This Row],[MNT_TOTAL]]&gt;=900,"HIGH VALUE","LOW VALUE")</f>
        <v>LOW VALUE</v>
      </c>
      <c r="AP18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11" s="1"/>
      <c r="AR1811" s="1"/>
    </row>
    <row r="1812" spans="1:44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50</v>
      </c>
      <c r="X1812">
        <v>2452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986</v>
      </c>
      <c r="AJ1812">
        <v>920</v>
      </c>
      <c r="AK1812">
        <v>0</v>
      </c>
      <c r="AL1812">
        <f t="shared" si="28"/>
        <v>1052</v>
      </c>
      <c r="AM1812">
        <f>IF(OR(Table1[[#This Row],[marital_Married]]=1,Table1[[#This Row],[marital_Together]]=1),1,0)</f>
        <v>1</v>
      </c>
      <c r="AN1812" t="str">
        <f>IF(Table1[[#This Row],[Income]]&gt;=70000,"HIGH INCOME","LOW INCOME")</f>
        <v>HIGH INCOME</v>
      </c>
      <c r="AO1812" s="1" t="str">
        <f>IF(Table1[[#This Row],[MNT_TOTAL]]&gt;=900,"HIGH VALUE","LOW VALUE")</f>
        <v>HIGH VALUE</v>
      </c>
      <c r="AP18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12" s="1"/>
      <c r="AR1812" s="1"/>
    </row>
    <row r="1813" spans="1:44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63</v>
      </c>
      <c r="X1813">
        <v>2623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255</v>
      </c>
      <c r="AJ1813">
        <v>235</v>
      </c>
      <c r="AK1813">
        <v>1</v>
      </c>
      <c r="AL1813">
        <f t="shared" si="28"/>
        <v>275</v>
      </c>
      <c r="AM1813">
        <f>IF(OR(Table1[[#This Row],[marital_Married]]=1,Table1[[#This Row],[marital_Together]]=1),1,0)</f>
        <v>1</v>
      </c>
      <c r="AN1813" t="str">
        <f>IF(Table1[[#This Row],[Income]]&gt;=70000,"HIGH INCOME","LOW INCOME")</f>
        <v>LOW INCOME</v>
      </c>
      <c r="AO1813" s="1" t="str">
        <f>IF(Table1[[#This Row],[MNT_TOTAL]]&gt;=900,"HIGH VALUE","LOW VALUE")</f>
        <v>LOW VALUE</v>
      </c>
      <c r="AP18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13" s="1"/>
      <c r="AR1813" s="1"/>
    </row>
    <row r="1814" spans="1:44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65</v>
      </c>
      <c r="X1814">
        <v>2854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395</v>
      </c>
      <c r="AJ1814">
        <v>203</v>
      </c>
      <c r="AK1814">
        <v>0</v>
      </c>
      <c r="AL1814">
        <f t="shared" si="28"/>
        <v>587</v>
      </c>
      <c r="AM1814">
        <f>IF(OR(Table1[[#This Row],[marital_Married]]=1,Table1[[#This Row],[marital_Together]]=1),1,0)</f>
        <v>1</v>
      </c>
      <c r="AN1814" t="str">
        <f>IF(Table1[[#This Row],[Income]]&gt;=70000,"HIGH INCOME","LOW INCOME")</f>
        <v>LOW INCOME</v>
      </c>
      <c r="AO1814" s="1" t="str">
        <f>IF(Table1[[#This Row],[MNT_TOTAL]]&gt;=900,"HIGH VALUE","LOW VALUE")</f>
        <v>LOW VALUE</v>
      </c>
      <c r="AP18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14" s="1"/>
      <c r="AR1814" s="1"/>
    </row>
    <row r="1815" spans="1:44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66</v>
      </c>
      <c r="X1815">
        <v>2804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1486</v>
      </c>
      <c r="AJ1815">
        <v>1310</v>
      </c>
      <c r="AK1815">
        <v>0</v>
      </c>
      <c r="AL1815">
        <f t="shared" si="28"/>
        <v>1662</v>
      </c>
      <c r="AM1815">
        <f>IF(OR(Table1[[#This Row],[marital_Married]]=1,Table1[[#This Row],[marital_Together]]=1),1,0)</f>
        <v>0</v>
      </c>
      <c r="AN1815" t="str">
        <f>IF(Table1[[#This Row],[Income]]&gt;=70000,"HIGH INCOME","LOW INCOME")</f>
        <v>LOW INCOME</v>
      </c>
      <c r="AO1815" s="1" t="str">
        <f>IF(Table1[[#This Row],[MNT_TOTAL]]&gt;=900,"HIGH VALUE","LOW VALUE")</f>
        <v>HIGH VALUE</v>
      </c>
      <c r="AP18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15" s="1"/>
      <c r="AR1815" s="1"/>
    </row>
    <row r="1816" spans="1:44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38</v>
      </c>
      <c r="X1816">
        <v>2662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152</v>
      </c>
      <c r="AJ1816">
        <v>145</v>
      </c>
      <c r="AK1816">
        <v>0</v>
      </c>
      <c r="AL1816">
        <f t="shared" si="28"/>
        <v>159</v>
      </c>
      <c r="AM1816">
        <f>IF(OR(Table1[[#This Row],[marital_Married]]=1,Table1[[#This Row],[marital_Together]]=1),1,0)</f>
        <v>1</v>
      </c>
      <c r="AN1816" t="str">
        <f>IF(Table1[[#This Row],[Income]]&gt;=70000,"HIGH INCOME","LOW INCOME")</f>
        <v>LOW INCOME</v>
      </c>
      <c r="AO1816" s="1" t="str">
        <f>IF(Table1[[#This Row],[MNT_TOTAL]]&gt;=900,"HIGH VALUE","LOW VALUE")</f>
        <v>LOW VALUE</v>
      </c>
      <c r="AP18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16" s="1"/>
      <c r="AR1816" s="1"/>
    </row>
    <row r="1817" spans="1:44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1</v>
      </c>
      <c r="W1817">
        <v>67</v>
      </c>
      <c r="X1817">
        <v>2550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952</v>
      </c>
      <c r="AJ1817">
        <v>880</v>
      </c>
      <c r="AK1817">
        <v>3</v>
      </c>
      <c r="AL1817">
        <f t="shared" si="28"/>
        <v>1024</v>
      </c>
      <c r="AM1817">
        <f>IF(OR(Table1[[#This Row],[marital_Married]]=1,Table1[[#This Row],[marital_Together]]=1),1,0)</f>
        <v>0</v>
      </c>
      <c r="AN1817" t="str">
        <f>IF(Table1[[#This Row],[Income]]&gt;=70000,"HIGH INCOME","LOW INCOME")</f>
        <v>HIGH INCOME</v>
      </c>
      <c r="AO1817" s="1" t="str">
        <f>IF(Table1[[#This Row],[MNT_TOTAL]]&gt;=900,"HIGH VALUE","LOW VALUE")</f>
        <v>HIGH VALUE</v>
      </c>
      <c r="AP18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17" s="1"/>
      <c r="AR1817" s="1"/>
    </row>
    <row r="1818" spans="1:44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52</v>
      </c>
      <c r="X1818">
        <v>2226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32</v>
      </c>
      <c r="AJ1818">
        <v>29</v>
      </c>
      <c r="AK1818">
        <v>0</v>
      </c>
      <c r="AL1818">
        <f t="shared" si="28"/>
        <v>35</v>
      </c>
      <c r="AM1818">
        <f>IF(OR(Table1[[#This Row],[marital_Married]]=1,Table1[[#This Row],[marital_Together]]=1),1,0)</f>
        <v>0</v>
      </c>
      <c r="AN1818" t="str">
        <f>IF(Table1[[#This Row],[Income]]&gt;=70000,"HIGH INCOME","LOW INCOME")</f>
        <v>LOW INCOME</v>
      </c>
      <c r="AO1818" s="1" t="str">
        <f>IF(Table1[[#This Row],[MNT_TOTAL]]&gt;=900,"HIGH VALUE","LOW VALUE")</f>
        <v>LOW VALUE</v>
      </c>
      <c r="AP18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18" s="1"/>
      <c r="AR1818" s="1"/>
    </row>
    <row r="1819" spans="1:44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63</v>
      </c>
      <c r="X1819">
        <v>2461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957</v>
      </c>
      <c r="AJ1819">
        <v>872</v>
      </c>
      <c r="AK1819">
        <v>0</v>
      </c>
      <c r="AL1819">
        <f t="shared" si="28"/>
        <v>1042</v>
      </c>
      <c r="AM1819">
        <f>IF(OR(Table1[[#This Row],[marital_Married]]=1,Table1[[#This Row],[marital_Together]]=1),1,0)</f>
        <v>1</v>
      </c>
      <c r="AN1819" t="str">
        <f>IF(Table1[[#This Row],[Income]]&gt;=70000,"HIGH INCOME","LOW INCOME")</f>
        <v>LOW INCOME</v>
      </c>
      <c r="AO1819" s="1" t="str">
        <f>IF(Table1[[#This Row],[MNT_TOTAL]]&gt;=900,"HIGH VALUE","LOW VALUE")</f>
        <v>HIGH VALUE</v>
      </c>
      <c r="AP18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19" s="1"/>
      <c r="AR1819" s="1"/>
    </row>
    <row r="1820" spans="1:44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55</v>
      </c>
      <c r="X1820">
        <v>2363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384</v>
      </c>
      <c r="AJ1820">
        <v>373</v>
      </c>
      <c r="AK1820">
        <v>0</v>
      </c>
      <c r="AL1820">
        <f t="shared" si="28"/>
        <v>395</v>
      </c>
      <c r="AM1820">
        <f>IF(OR(Table1[[#This Row],[marital_Married]]=1,Table1[[#This Row],[marital_Together]]=1),1,0)</f>
        <v>1</v>
      </c>
      <c r="AN1820" t="str">
        <f>IF(Table1[[#This Row],[Income]]&gt;=70000,"HIGH INCOME","LOW INCOME")</f>
        <v>LOW INCOME</v>
      </c>
      <c r="AO1820" s="1" t="str">
        <f>IF(Table1[[#This Row],[MNT_TOTAL]]&gt;=900,"HIGH VALUE","LOW VALUE")</f>
        <v>LOW VALUE</v>
      </c>
      <c r="AP18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0" s="1"/>
      <c r="AR1820" s="1"/>
    </row>
    <row r="1821" spans="1:44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1</v>
      </c>
      <c r="W1821">
        <v>45</v>
      </c>
      <c r="X1821">
        <v>2814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494</v>
      </c>
      <c r="AJ1821">
        <v>431</v>
      </c>
      <c r="AK1821">
        <v>3</v>
      </c>
      <c r="AL1821">
        <f t="shared" si="28"/>
        <v>557</v>
      </c>
      <c r="AM1821">
        <f>IF(OR(Table1[[#This Row],[marital_Married]]=1,Table1[[#This Row],[marital_Together]]=1),1,0)</f>
        <v>1</v>
      </c>
      <c r="AN1821" t="str">
        <f>IF(Table1[[#This Row],[Income]]&gt;=70000,"HIGH INCOME","LOW INCOME")</f>
        <v>HIGH INCOME</v>
      </c>
      <c r="AO1821" s="1" t="str">
        <f>IF(Table1[[#This Row],[MNT_TOTAL]]&gt;=900,"HIGH VALUE","LOW VALUE")</f>
        <v>LOW VALUE</v>
      </c>
      <c r="AP18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21" s="1"/>
      <c r="AR1821" s="1"/>
    </row>
    <row r="1822" spans="1:44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57</v>
      </c>
      <c r="X1822">
        <v>2165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8</v>
      </c>
      <c r="AJ1822">
        <v>7</v>
      </c>
      <c r="AK1822">
        <v>0</v>
      </c>
      <c r="AL1822">
        <f t="shared" si="28"/>
        <v>9</v>
      </c>
      <c r="AM1822">
        <f>IF(OR(Table1[[#This Row],[marital_Married]]=1,Table1[[#This Row],[marital_Together]]=1),1,0)</f>
        <v>1</v>
      </c>
      <c r="AN1822" t="str">
        <f>IF(Table1[[#This Row],[Income]]&gt;=70000,"HIGH INCOME","LOW INCOME")</f>
        <v>LOW INCOME</v>
      </c>
      <c r="AO1822" s="1" t="str">
        <f>IF(Table1[[#This Row],[MNT_TOTAL]]&gt;=900,"HIGH VALUE","LOW VALUE")</f>
        <v>LOW VALUE</v>
      </c>
      <c r="AP18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2" s="1"/>
      <c r="AR1822" s="1"/>
    </row>
    <row r="1823" spans="1:44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30</v>
      </c>
      <c r="X1823">
        <v>2515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53</v>
      </c>
      <c r="AJ1823">
        <v>37</v>
      </c>
      <c r="AK1823">
        <v>0</v>
      </c>
      <c r="AL1823">
        <f t="shared" si="28"/>
        <v>69</v>
      </c>
      <c r="AM1823">
        <f>IF(OR(Table1[[#This Row],[marital_Married]]=1,Table1[[#This Row],[marital_Together]]=1),1,0)</f>
        <v>1</v>
      </c>
      <c r="AN1823" t="str">
        <f>IF(Table1[[#This Row],[Income]]&gt;=70000,"HIGH INCOME","LOW INCOME")</f>
        <v>LOW INCOME</v>
      </c>
      <c r="AO1823" s="1" t="str">
        <f>IF(Table1[[#This Row],[MNT_TOTAL]]&gt;=900,"HIGH VALUE","LOW VALUE")</f>
        <v>LOW VALUE</v>
      </c>
      <c r="AP18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3" s="1"/>
      <c r="AR1823" s="1"/>
    </row>
    <row r="1824" spans="1:44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2328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446</v>
      </c>
      <c r="AJ1824">
        <v>406</v>
      </c>
      <c r="AK1824">
        <v>0</v>
      </c>
      <c r="AL1824">
        <f t="shared" si="28"/>
        <v>486</v>
      </c>
      <c r="AM1824">
        <f>IF(OR(Table1[[#This Row],[marital_Married]]=1,Table1[[#This Row],[marital_Together]]=1),1,0)</f>
        <v>1</v>
      </c>
      <c r="AN1824" t="str">
        <f>IF(Table1[[#This Row],[Income]]&gt;=70000,"HIGH INCOME","LOW INCOME")</f>
        <v>LOW INCOME</v>
      </c>
      <c r="AO1824" s="1" t="str">
        <f>IF(Table1[[#This Row],[MNT_TOTAL]]&gt;=900,"HIGH VALUE","LOW VALUE")</f>
        <v>LOW VALUE</v>
      </c>
      <c r="AP18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4" s="1"/>
      <c r="AR1824" s="1"/>
    </row>
    <row r="1825" spans="1:44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32</v>
      </c>
      <c r="X1825">
        <v>2306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25</v>
      </c>
      <c r="AJ1825">
        <v>16</v>
      </c>
      <c r="AK1825">
        <v>0</v>
      </c>
      <c r="AL1825">
        <f t="shared" si="28"/>
        <v>34</v>
      </c>
      <c r="AM1825">
        <f>IF(OR(Table1[[#This Row],[marital_Married]]=1,Table1[[#This Row],[marital_Together]]=1),1,0)</f>
        <v>0</v>
      </c>
      <c r="AN1825" t="str">
        <f>IF(Table1[[#This Row],[Income]]&gt;=70000,"HIGH INCOME","LOW INCOME")</f>
        <v>LOW INCOME</v>
      </c>
      <c r="AO1825" s="1" t="str">
        <f>IF(Table1[[#This Row],[MNT_TOTAL]]&gt;=900,"HIGH VALUE","LOW VALUE")</f>
        <v>LOW VALUE</v>
      </c>
      <c r="AP18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25" s="1"/>
      <c r="AR1825" s="1"/>
    </row>
    <row r="1826" spans="1:44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1</v>
      </c>
      <c r="W1826">
        <v>25</v>
      </c>
      <c r="X1826">
        <v>2808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1298</v>
      </c>
      <c r="AJ1826">
        <v>1231</v>
      </c>
      <c r="AK1826">
        <v>2</v>
      </c>
      <c r="AL1826">
        <f t="shared" si="28"/>
        <v>1365</v>
      </c>
      <c r="AM1826">
        <f>IF(OR(Table1[[#This Row],[marital_Married]]=1,Table1[[#This Row],[marital_Together]]=1),1,0)</f>
        <v>0</v>
      </c>
      <c r="AN1826" t="str">
        <f>IF(Table1[[#This Row],[Income]]&gt;=70000,"HIGH INCOME","LOW INCOME")</f>
        <v>HIGH INCOME</v>
      </c>
      <c r="AO1826" s="1" t="str">
        <f>IF(Table1[[#This Row],[MNT_TOTAL]]&gt;=900,"HIGH VALUE","LOW VALUE")</f>
        <v>HIGH VALUE</v>
      </c>
      <c r="AP18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26" s="1"/>
      <c r="AR1826" s="1"/>
    </row>
    <row r="1827" spans="1:44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45</v>
      </c>
      <c r="X1827">
        <v>2565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11</v>
      </c>
      <c r="AJ1827">
        <v>9</v>
      </c>
      <c r="AK1827">
        <v>0</v>
      </c>
      <c r="AL1827">
        <f t="shared" si="28"/>
        <v>13</v>
      </c>
      <c r="AM1827">
        <f>IF(OR(Table1[[#This Row],[marital_Married]]=1,Table1[[#This Row],[marital_Together]]=1),1,0)</f>
        <v>1</v>
      </c>
      <c r="AN1827" t="str">
        <f>IF(Table1[[#This Row],[Income]]&gt;=70000,"HIGH INCOME","LOW INCOME")</f>
        <v>LOW INCOME</v>
      </c>
      <c r="AO1827" s="1" t="str">
        <f>IF(Table1[[#This Row],[MNT_TOTAL]]&gt;=900,"HIGH VALUE","LOW VALUE")</f>
        <v>LOW VALUE</v>
      </c>
      <c r="AP18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27" s="1"/>
      <c r="AR1827" s="1"/>
    </row>
    <row r="1828" spans="1:44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42</v>
      </c>
      <c r="X1828">
        <v>2767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1348</v>
      </c>
      <c r="AJ1828">
        <v>1295</v>
      </c>
      <c r="AK1828">
        <v>0</v>
      </c>
      <c r="AL1828">
        <f t="shared" si="28"/>
        <v>1401</v>
      </c>
      <c r="AM1828">
        <f>IF(OR(Table1[[#This Row],[marital_Married]]=1,Table1[[#This Row],[marital_Together]]=1),1,0)</f>
        <v>1</v>
      </c>
      <c r="AN1828" t="str">
        <f>IF(Table1[[#This Row],[Income]]&gt;=70000,"HIGH INCOME","LOW INCOME")</f>
        <v>HIGH INCOME</v>
      </c>
      <c r="AO1828" s="1" t="str">
        <f>IF(Table1[[#This Row],[MNT_TOTAL]]&gt;=900,"HIGH VALUE","LOW VALUE")</f>
        <v>HIGH VALUE</v>
      </c>
      <c r="AP18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28" s="1"/>
      <c r="AR1828" s="1"/>
    </row>
    <row r="1829" spans="1:44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59</v>
      </c>
      <c r="X1829">
        <v>2693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1544</v>
      </c>
      <c r="AJ1829">
        <v>1514</v>
      </c>
      <c r="AK1829">
        <v>0</v>
      </c>
      <c r="AL1829">
        <f t="shared" si="28"/>
        <v>1574</v>
      </c>
      <c r="AM1829">
        <f>IF(OR(Table1[[#This Row],[marital_Married]]=1,Table1[[#This Row],[marital_Together]]=1),1,0)</f>
        <v>1</v>
      </c>
      <c r="AN1829" t="str">
        <f>IF(Table1[[#This Row],[Income]]&gt;=70000,"HIGH INCOME","LOW INCOME")</f>
        <v>LOW INCOME</v>
      </c>
      <c r="AO1829" s="1" t="str">
        <f>IF(Table1[[#This Row],[MNT_TOTAL]]&gt;=900,"HIGH VALUE","LOW VALUE")</f>
        <v>HIGH VALUE</v>
      </c>
      <c r="AP18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29" s="1"/>
      <c r="AR1829" s="1"/>
    </row>
    <row r="1830" spans="1:44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36</v>
      </c>
      <c r="X1830">
        <v>2451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1285</v>
      </c>
      <c r="AJ1830">
        <v>1247</v>
      </c>
      <c r="AK1830">
        <v>0</v>
      </c>
      <c r="AL1830">
        <f t="shared" si="28"/>
        <v>1323</v>
      </c>
      <c r="AM1830">
        <f>IF(OR(Table1[[#This Row],[marital_Married]]=1,Table1[[#This Row],[marital_Together]]=1),1,0)</f>
        <v>0</v>
      </c>
      <c r="AN1830" t="str">
        <f>IF(Table1[[#This Row],[Income]]&gt;=70000,"HIGH INCOME","LOW INCOME")</f>
        <v>HIGH INCOME</v>
      </c>
      <c r="AO1830" s="1" t="str">
        <f>IF(Table1[[#This Row],[MNT_TOTAL]]&gt;=900,"HIGH VALUE","LOW VALUE")</f>
        <v>HIGH VALUE</v>
      </c>
      <c r="AP18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30" s="1"/>
      <c r="AR1830" s="1"/>
    </row>
    <row r="1831" spans="1:44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49</v>
      </c>
      <c r="X1831">
        <v>2480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1205</v>
      </c>
      <c r="AJ1831">
        <v>1193</v>
      </c>
      <c r="AK1831">
        <v>2</v>
      </c>
      <c r="AL1831">
        <f t="shared" si="28"/>
        <v>1217</v>
      </c>
      <c r="AM1831">
        <f>IF(OR(Table1[[#This Row],[marital_Married]]=1,Table1[[#This Row],[marital_Together]]=1),1,0)</f>
        <v>0</v>
      </c>
      <c r="AN1831" t="str">
        <f>IF(Table1[[#This Row],[Income]]&gt;=70000,"HIGH INCOME","LOW INCOME")</f>
        <v>HIGH INCOME</v>
      </c>
      <c r="AO1831" s="1" t="str">
        <f>IF(Table1[[#This Row],[MNT_TOTAL]]&gt;=900,"HIGH VALUE","LOW VALUE")</f>
        <v>HIGH VALUE</v>
      </c>
      <c r="AP18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31" s="1"/>
      <c r="AR1831" s="1"/>
    </row>
    <row r="1832" spans="1:44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69</v>
      </c>
      <c r="X1832">
        <v>2748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90</v>
      </c>
      <c r="AJ1832">
        <v>77</v>
      </c>
      <c r="AK1832">
        <v>0</v>
      </c>
      <c r="AL1832">
        <f t="shared" si="28"/>
        <v>103</v>
      </c>
      <c r="AM1832">
        <f>IF(OR(Table1[[#This Row],[marital_Married]]=1,Table1[[#This Row],[marital_Together]]=1),1,0)</f>
        <v>0</v>
      </c>
      <c r="AN1832" t="str">
        <f>IF(Table1[[#This Row],[Income]]&gt;=70000,"HIGH INCOME","LOW INCOME")</f>
        <v>LOW INCOME</v>
      </c>
      <c r="AO1832" s="1" t="str">
        <f>IF(Table1[[#This Row],[MNT_TOTAL]]&gt;=900,"HIGH VALUE","LOW VALUE")</f>
        <v>LOW VALUE</v>
      </c>
      <c r="AP18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32" s="1"/>
      <c r="AR1832" s="1"/>
    </row>
    <row r="1833" spans="1:44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44</v>
      </c>
      <c r="X1833">
        <v>2519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66</v>
      </c>
      <c r="AJ1833">
        <v>48</v>
      </c>
      <c r="AK1833">
        <v>0</v>
      </c>
      <c r="AL1833">
        <f t="shared" si="28"/>
        <v>84</v>
      </c>
      <c r="AM1833">
        <f>IF(OR(Table1[[#This Row],[marital_Married]]=1,Table1[[#This Row],[marital_Together]]=1),1,0)</f>
        <v>1</v>
      </c>
      <c r="AN1833" t="str">
        <f>IF(Table1[[#This Row],[Income]]&gt;=70000,"HIGH INCOME","LOW INCOME")</f>
        <v>LOW INCOME</v>
      </c>
      <c r="AO1833" s="1" t="str">
        <f>IF(Table1[[#This Row],[MNT_TOTAL]]&gt;=900,"HIGH VALUE","LOW VALUE")</f>
        <v>LOW VALUE</v>
      </c>
      <c r="AP18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33" s="1"/>
      <c r="AR1833" s="1"/>
    </row>
    <row r="1834" spans="1:44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48</v>
      </c>
      <c r="X1834">
        <v>2678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1507</v>
      </c>
      <c r="AJ1834">
        <v>1478</v>
      </c>
      <c r="AK1834">
        <v>0</v>
      </c>
      <c r="AL1834">
        <f t="shared" si="28"/>
        <v>1536</v>
      </c>
      <c r="AM1834">
        <f>IF(OR(Table1[[#This Row],[marital_Married]]=1,Table1[[#This Row],[marital_Together]]=1),1,0)</f>
        <v>1</v>
      </c>
      <c r="AN1834" t="str">
        <f>IF(Table1[[#This Row],[Income]]&gt;=70000,"HIGH INCOME","LOW INCOME")</f>
        <v>HIGH INCOME</v>
      </c>
      <c r="AO1834" s="1" t="str">
        <f>IF(Table1[[#This Row],[MNT_TOTAL]]&gt;=900,"HIGH VALUE","LOW VALUE")</f>
        <v>HIGH VALUE</v>
      </c>
      <c r="AP18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34" s="1"/>
      <c r="AR1834" s="1"/>
    </row>
    <row r="1835" spans="1:44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35</v>
      </c>
      <c r="X1835">
        <v>2808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484</v>
      </c>
      <c r="AJ1835">
        <v>387</v>
      </c>
      <c r="AK1835">
        <v>0</v>
      </c>
      <c r="AL1835">
        <f t="shared" si="28"/>
        <v>581</v>
      </c>
      <c r="AM1835">
        <f>IF(OR(Table1[[#This Row],[marital_Married]]=1,Table1[[#This Row],[marital_Together]]=1),1,0)</f>
        <v>1</v>
      </c>
      <c r="AN1835" t="str">
        <f>IF(Table1[[#This Row],[Income]]&gt;=70000,"HIGH INCOME","LOW INCOME")</f>
        <v>LOW INCOME</v>
      </c>
      <c r="AO1835" s="1" t="str">
        <f>IF(Table1[[#This Row],[MNT_TOTAL]]&gt;=900,"HIGH VALUE","LOW VALUE")</f>
        <v>LOW VALUE</v>
      </c>
      <c r="AP18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35" s="1"/>
      <c r="AR1835" s="1"/>
    </row>
    <row r="1836" spans="1:44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2758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902</v>
      </c>
      <c r="AJ1836">
        <v>876</v>
      </c>
      <c r="AK1836">
        <v>0</v>
      </c>
      <c r="AL1836">
        <f t="shared" si="28"/>
        <v>928</v>
      </c>
      <c r="AM1836">
        <f>IF(OR(Table1[[#This Row],[marital_Married]]=1,Table1[[#This Row],[marital_Together]]=1),1,0)</f>
        <v>1</v>
      </c>
      <c r="AN1836" t="str">
        <f>IF(Table1[[#This Row],[Income]]&gt;=70000,"HIGH INCOME","LOW INCOME")</f>
        <v>LOW INCOME</v>
      </c>
      <c r="AO1836" s="1" t="str">
        <f>IF(Table1[[#This Row],[MNT_TOTAL]]&gt;=900,"HIGH VALUE","LOW VALUE")</f>
        <v>HIGH VALUE</v>
      </c>
      <c r="AP18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36" s="1"/>
      <c r="AR1836" s="1"/>
    </row>
    <row r="1837" spans="1:44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45</v>
      </c>
      <c r="X1837">
        <v>2355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8</v>
      </c>
      <c r="AJ1837">
        <v>2</v>
      </c>
      <c r="AK1837">
        <v>0</v>
      </c>
      <c r="AL1837">
        <f t="shared" si="28"/>
        <v>14</v>
      </c>
      <c r="AM1837">
        <f>IF(OR(Table1[[#This Row],[marital_Married]]=1,Table1[[#This Row],[marital_Together]]=1),1,0)</f>
        <v>0</v>
      </c>
      <c r="AN1837" t="str">
        <f>IF(Table1[[#This Row],[Income]]&gt;=70000,"HIGH INCOME","LOW INCOME")</f>
        <v>LOW INCOME</v>
      </c>
      <c r="AO1837" s="1" t="str">
        <f>IF(Table1[[#This Row],[MNT_TOTAL]]&gt;=900,"HIGH VALUE","LOW VALUE")</f>
        <v>LOW VALUE</v>
      </c>
      <c r="AP18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37" s="1"/>
      <c r="AR1837" s="1"/>
    </row>
    <row r="1838" spans="1:44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41</v>
      </c>
      <c r="X1838">
        <v>2485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397</v>
      </c>
      <c r="AJ1838">
        <v>370</v>
      </c>
      <c r="AK1838">
        <v>0</v>
      </c>
      <c r="AL1838">
        <f t="shared" si="28"/>
        <v>424</v>
      </c>
      <c r="AM1838">
        <f>IF(OR(Table1[[#This Row],[marital_Married]]=1,Table1[[#This Row],[marital_Together]]=1),1,0)</f>
        <v>0</v>
      </c>
      <c r="AN1838" t="str">
        <f>IF(Table1[[#This Row],[Income]]&gt;=70000,"HIGH INCOME","LOW INCOME")</f>
        <v>LOW INCOME</v>
      </c>
      <c r="AO1838" s="1" t="str">
        <f>IF(Table1[[#This Row],[MNT_TOTAL]]&gt;=900,"HIGH VALUE","LOW VALUE")</f>
        <v>LOW VALUE</v>
      </c>
      <c r="AP18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38" s="1"/>
      <c r="AR1838" s="1"/>
    </row>
    <row r="1839" spans="1:44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49</v>
      </c>
      <c r="X1839">
        <v>2417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907</v>
      </c>
      <c r="AJ1839">
        <v>854</v>
      </c>
      <c r="AK1839">
        <v>0</v>
      </c>
      <c r="AL1839">
        <f t="shared" si="28"/>
        <v>960</v>
      </c>
      <c r="AM1839">
        <f>IF(OR(Table1[[#This Row],[marital_Married]]=1,Table1[[#This Row],[marital_Together]]=1),1,0)</f>
        <v>1</v>
      </c>
      <c r="AN1839" t="str">
        <f>IF(Table1[[#This Row],[Income]]&gt;=70000,"HIGH INCOME","LOW INCOME")</f>
        <v>HIGH INCOME</v>
      </c>
      <c r="AO1839" s="1" t="str">
        <f>IF(Table1[[#This Row],[MNT_TOTAL]]&gt;=900,"HIGH VALUE","LOW VALUE")</f>
        <v>HIGH VALUE</v>
      </c>
      <c r="AP18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39" s="1"/>
      <c r="AR1839" s="1"/>
    </row>
    <row r="1840" spans="1:44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1</v>
      </c>
      <c r="W1840">
        <v>38</v>
      </c>
      <c r="X1840">
        <v>2756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1460</v>
      </c>
      <c r="AJ1840">
        <v>1365</v>
      </c>
      <c r="AK1840">
        <v>1</v>
      </c>
      <c r="AL1840">
        <f t="shared" si="28"/>
        <v>1555</v>
      </c>
      <c r="AM1840">
        <f>IF(OR(Table1[[#This Row],[marital_Married]]=1,Table1[[#This Row],[marital_Together]]=1),1,0)</f>
        <v>1</v>
      </c>
      <c r="AN1840" t="str">
        <f>IF(Table1[[#This Row],[Income]]&gt;=70000,"HIGH INCOME","LOW INCOME")</f>
        <v>LOW INCOME</v>
      </c>
      <c r="AO1840" s="1" t="str">
        <f>IF(Table1[[#This Row],[MNT_TOTAL]]&gt;=900,"HIGH VALUE","LOW VALUE")</f>
        <v>HIGH VALUE</v>
      </c>
      <c r="AP18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0" s="1"/>
      <c r="AR1840" s="1"/>
    </row>
    <row r="1841" spans="1:44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47</v>
      </c>
      <c r="X1841">
        <v>2789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597</v>
      </c>
      <c r="AJ1841">
        <v>538</v>
      </c>
      <c r="AK1841">
        <v>1</v>
      </c>
      <c r="AL1841">
        <f t="shared" si="28"/>
        <v>656</v>
      </c>
      <c r="AM1841">
        <f>IF(OR(Table1[[#This Row],[marital_Married]]=1,Table1[[#This Row],[marital_Together]]=1),1,0)</f>
        <v>0</v>
      </c>
      <c r="AN1841" t="str">
        <f>IF(Table1[[#This Row],[Income]]&gt;=70000,"HIGH INCOME","LOW INCOME")</f>
        <v>LOW INCOME</v>
      </c>
      <c r="AO1841" s="1" t="str">
        <f>IF(Table1[[#This Row],[MNT_TOTAL]]&gt;=900,"HIGH VALUE","LOW VALUE")</f>
        <v>LOW VALUE</v>
      </c>
      <c r="AP18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1" s="1"/>
      <c r="AR1841" s="1"/>
    </row>
    <row r="1842" spans="1:44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52</v>
      </c>
      <c r="X1842">
        <v>2455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47</v>
      </c>
      <c r="AJ1842">
        <v>39</v>
      </c>
      <c r="AK1842">
        <v>0</v>
      </c>
      <c r="AL1842">
        <f t="shared" si="28"/>
        <v>55</v>
      </c>
      <c r="AM1842">
        <f>IF(OR(Table1[[#This Row],[marital_Married]]=1,Table1[[#This Row],[marital_Together]]=1),1,0)</f>
        <v>1</v>
      </c>
      <c r="AN1842" t="str">
        <f>IF(Table1[[#This Row],[Income]]&gt;=70000,"HIGH INCOME","LOW INCOME")</f>
        <v>LOW INCOME</v>
      </c>
      <c r="AO1842" s="1" t="str">
        <f>IF(Table1[[#This Row],[MNT_TOTAL]]&gt;=900,"HIGH VALUE","LOW VALUE")</f>
        <v>LOW VALUE</v>
      </c>
      <c r="AP18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42" s="1"/>
      <c r="AR1842" s="1"/>
    </row>
    <row r="1843" spans="1:44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36</v>
      </c>
      <c r="X1843">
        <v>2208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18</v>
      </c>
      <c r="AJ1843">
        <v>16</v>
      </c>
      <c r="AK1843">
        <v>0</v>
      </c>
      <c r="AL1843">
        <f t="shared" si="28"/>
        <v>20</v>
      </c>
      <c r="AM1843">
        <f>IF(OR(Table1[[#This Row],[marital_Married]]=1,Table1[[#This Row],[marital_Together]]=1),1,0)</f>
        <v>0</v>
      </c>
      <c r="AN1843" t="str">
        <f>IF(Table1[[#This Row],[Income]]&gt;=70000,"HIGH INCOME","LOW INCOME")</f>
        <v>LOW INCOME</v>
      </c>
      <c r="AO1843" s="1" t="str">
        <f>IF(Table1[[#This Row],[MNT_TOTAL]]&gt;=900,"HIGH VALUE","LOW VALUE")</f>
        <v>LOW VALUE</v>
      </c>
      <c r="AP18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3" s="1"/>
      <c r="AR1843" s="1"/>
    </row>
    <row r="1844" spans="1:44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49</v>
      </c>
      <c r="X1844">
        <v>2795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347</v>
      </c>
      <c r="AJ1844">
        <v>327</v>
      </c>
      <c r="AK1844">
        <v>0</v>
      </c>
      <c r="AL1844">
        <f t="shared" si="28"/>
        <v>367</v>
      </c>
      <c r="AM1844">
        <f>IF(OR(Table1[[#This Row],[marital_Married]]=1,Table1[[#This Row],[marital_Together]]=1),1,0)</f>
        <v>1</v>
      </c>
      <c r="AN1844" t="str">
        <f>IF(Table1[[#This Row],[Income]]&gt;=70000,"HIGH INCOME","LOW INCOME")</f>
        <v>LOW INCOME</v>
      </c>
      <c r="AO1844" s="1" t="str">
        <f>IF(Table1[[#This Row],[MNT_TOTAL]]&gt;=900,"HIGH VALUE","LOW VALUE")</f>
        <v>LOW VALUE</v>
      </c>
      <c r="AP18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44" s="1"/>
      <c r="AR1844" s="1"/>
    </row>
    <row r="1845" spans="1:44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1</v>
      </c>
      <c r="W1845">
        <v>43</v>
      </c>
      <c r="X1845">
        <v>2270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2074</v>
      </c>
      <c r="AJ1845">
        <v>1891</v>
      </c>
      <c r="AK1845">
        <v>3</v>
      </c>
      <c r="AL1845">
        <f t="shared" si="28"/>
        <v>2257</v>
      </c>
      <c r="AM1845">
        <f>IF(OR(Table1[[#This Row],[marital_Married]]=1,Table1[[#This Row],[marital_Together]]=1),1,0)</f>
        <v>1</v>
      </c>
      <c r="AN1845" t="str">
        <f>IF(Table1[[#This Row],[Income]]&gt;=70000,"HIGH INCOME","LOW INCOME")</f>
        <v>HIGH INCOME</v>
      </c>
      <c r="AO1845" s="1" t="str">
        <f>IF(Table1[[#This Row],[MNT_TOTAL]]&gt;=900,"HIGH VALUE","LOW VALUE")</f>
        <v>HIGH VALUE</v>
      </c>
      <c r="AP18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45" s="1"/>
      <c r="AR1845" s="1"/>
    </row>
    <row r="1846" spans="1:44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53</v>
      </c>
      <c r="X1846">
        <v>2279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34</v>
      </c>
      <c r="AJ1846">
        <v>26</v>
      </c>
      <c r="AK1846">
        <v>0</v>
      </c>
      <c r="AL1846">
        <f t="shared" si="28"/>
        <v>42</v>
      </c>
      <c r="AM1846">
        <f>IF(OR(Table1[[#This Row],[marital_Married]]=1,Table1[[#This Row],[marital_Together]]=1),1,0)</f>
        <v>0</v>
      </c>
      <c r="AN1846" t="str">
        <f>IF(Table1[[#This Row],[Income]]&gt;=70000,"HIGH INCOME","LOW INCOME")</f>
        <v>LOW INCOME</v>
      </c>
      <c r="AO1846" s="1" t="str">
        <f>IF(Table1[[#This Row],[MNT_TOTAL]]&gt;=900,"HIGH VALUE","LOW VALUE")</f>
        <v>LOW VALUE</v>
      </c>
      <c r="AP18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6" s="1"/>
      <c r="AR1846" s="1"/>
    </row>
    <row r="1847" spans="1:44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56</v>
      </c>
      <c r="X1847">
        <v>2541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992</v>
      </c>
      <c r="AJ1847">
        <v>935</v>
      </c>
      <c r="AK1847">
        <v>0</v>
      </c>
      <c r="AL1847">
        <f t="shared" si="28"/>
        <v>1049</v>
      </c>
      <c r="AM1847">
        <f>IF(OR(Table1[[#This Row],[marital_Married]]=1,Table1[[#This Row],[marital_Together]]=1),1,0)</f>
        <v>0</v>
      </c>
      <c r="AN1847" t="str">
        <f>IF(Table1[[#This Row],[Income]]&gt;=70000,"HIGH INCOME","LOW INCOME")</f>
        <v>LOW INCOME</v>
      </c>
      <c r="AO1847" s="1" t="str">
        <f>IF(Table1[[#This Row],[MNT_TOTAL]]&gt;=900,"HIGH VALUE","LOW VALUE")</f>
        <v>HIGH VALUE</v>
      </c>
      <c r="AP18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7" s="1"/>
      <c r="AR1847" s="1"/>
    </row>
    <row r="1848" spans="1:44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48</v>
      </c>
      <c r="X1848">
        <v>2233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40</v>
      </c>
      <c r="AJ1848">
        <v>32</v>
      </c>
      <c r="AK1848">
        <v>0</v>
      </c>
      <c r="AL1848">
        <f t="shared" si="28"/>
        <v>48</v>
      </c>
      <c r="AM1848">
        <f>IF(OR(Table1[[#This Row],[marital_Married]]=1,Table1[[#This Row],[marital_Together]]=1),1,0)</f>
        <v>0</v>
      </c>
      <c r="AN1848" t="str">
        <f>IF(Table1[[#This Row],[Income]]&gt;=70000,"HIGH INCOME","LOW INCOME")</f>
        <v>LOW INCOME</v>
      </c>
      <c r="AO1848" s="1" t="str">
        <f>IF(Table1[[#This Row],[MNT_TOTAL]]&gt;=900,"HIGH VALUE","LOW VALUE")</f>
        <v>LOW VALUE</v>
      </c>
      <c r="AP18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8" s="1"/>
      <c r="AR1848" s="1"/>
    </row>
    <row r="1849" spans="1:44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72</v>
      </c>
      <c r="X1849">
        <v>2702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659</v>
      </c>
      <c r="AJ1849">
        <v>633</v>
      </c>
      <c r="AK1849">
        <v>0</v>
      </c>
      <c r="AL1849">
        <f t="shared" si="28"/>
        <v>685</v>
      </c>
      <c r="AM1849">
        <f>IF(OR(Table1[[#This Row],[marital_Married]]=1,Table1[[#This Row],[marital_Together]]=1),1,0)</f>
        <v>0</v>
      </c>
      <c r="AN1849" t="str">
        <f>IF(Table1[[#This Row],[Income]]&gt;=70000,"HIGH INCOME","LOW INCOME")</f>
        <v>LOW INCOME</v>
      </c>
      <c r="AO1849" s="1" t="str">
        <f>IF(Table1[[#This Row],[MNT_TOTAL]]&gt;=900,"HIGH VALUE","LOW VALUE")</f>
        <v>LOW VALUE</v>
      </c>
      <c r="AP18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49" s="1"/>
      <c r="AR1849" s="1"/>
    </row>
    <row r="1850" spans="1:44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68</v>
      </c>
      <c r="X1850">
        <v>2230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39</v>
      </c>
      <c r="AJ1850">
        <v>39</v>
      </c>
      <c r="AK1850">
        <v>0</v>
      </c>
      <c r="AL1850">
        <f t="shared" si="28"/>
        <v>39</v>
      </c>
      <c r="AM1850">
        <f>IF(OR(Table1[[#This Row],[marital_Married]]=1,Table1[[#This Row],[marital_Together]]=1),1,0)</f>
        <v>0</v>
      </c>
      <c r="AN1850" t="str">
        <f>IF(Table1[[#This Row],[Income]]&gt;=70000,"HIGH INCOME","LOW INCOME")</f>
        <v>LOW INCOME</v>
      </c>
      <c r="AO1850" s="1" t="str">
        <f>IF(Table1[[#This Row],[MNT_TOTAL]]&gt;=900,"HIGH VALUE","LOW VALUE")</f>
        <v>LOW VALUE</v>
      </c>
      <c r="AP18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0" s="1"/>
      <c r="AR1850" s="1"/>
    </row>
    <row r="1851" spans="1:44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33</v>
      </c>
      <c r="X1851">
        <v>2301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27</v>
      </c>
      <c r="AJ1851">
        <v>11</v>
      </c>
      <c r="AK1851">
        <v>0</v>
      </c>
      <c r="AL1851">
        <f t="shared" si="28"/>
        <v>43</v>
      </c>
      <c r="AM1851">
        <f>IF(OR(Table1[[#This Row],[marital_Married]]=1,Table1[[#This Row],[marital_Together]]=1),1,0)</f>
        <v>0</v>
      </c>
      <c r="AN1851" t="str">
        <f>IF(Table1[[#This Row],[Income]]&gt;=70000,"HIGH INCOME","LOW INCOME")</f>
        <v>LOW INCOME</v>
      </c>
      <c r="AO1851" s="1" t="str">
        <f>IF(Table1[[#This Row],[MNT_TOTAL]]&gt;=900,"HIGH VALUE","LOW VALUE")</f>
        <v>LOW VALUE</v>
      </c>
      <c r="AP18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1" s="1"/>
      <c r="AR1851" s="1"/>
    </row>
    <row r="1852" spans="1:44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61</v>
      </c>
      <c r="X1852">
        <v>2841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616</v>
      </c>
      <c r="AJ1852">
        <v>397</v>
      </c>
      <c r="AK1852">
        <v>0</v>
      </c>
      <c r="AL1852">
        <f t="shared" si="28"/>
        <v>835</v>
      </c>
      <c r="AM1852">
        <f>IF(OR(Table1[[#This Row],[marital_Married]]=1,Table1[[#This Row],[marital_Together]]=1),1,0)</f>
        <v>0</v>
      </c>
      <c r="AN1852" t="str">
        <f>IF(Table1[[#This Row],[Income]]&gt;=70000,"HIGH INCOME","LOW INCOME")</f>
        <v>LOW INCOME</v>
      </c>
      <c r="AO1852" s="1" t="str">
        <f>IF(Table1[[#This Row],[MNT_TOTAL]]&gt;=900,"HIGH VALUE","LOW VALUE")</f>
        <v>LOW VALUE</v>
      </c>
      <c r="AP18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2" s="1"/>
      <c r="AR1852" s="1"/>
    </row>
    <row r="1853" spans="1:44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62</v>
      </c>
      <c r="X1853">
        <v>2318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1312</v>
      </c>
      <c r="AJ1853">
        <v>1109</v>
      </c>
      <c r="AK1853">
        <v>1</v>
      </c>
      <c r="AL1853">
        <f t="shared" si="28"/>
        <v>1515</v>
      </c>
      <c r="AM1853">
        <f>IF(OR(Table1[[#This Row],[marital_Married]]=1,Table1[[#This Row],[marital_Together]]=1),1,0)</f>
        <v>1</v>
      </c>
      <c r="AN1853" t="str">
        <f>IF(Table1[[#This Row],[Income]]&gt;=70000,"HIGH INCOME","LOW INCOME")</f>
        <v>HIGH INCOME</v>
      </c>
      <c r="AO1853" s="1" t="str">
        <f>IF(Table1[[#This Row],[MNT_TOTAL]]&gt;=900,"HIGH VALUE","LOW VALUE")</f>
        <v>HIGH VALUE</v>
      </c>
      <c r="AP18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53" s="1"/>
      <c r="AR1853" s="1"/>
    </row>
    <row r="1854" spans="1:44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69</v>
      </c>
      <c r="X1854">
        <v>2654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982</v>
      </c>
      <c r="AJ1854">
        <v>925</v>
      </c>
      <c r="AK1854">
        <v>0</v>
      </c>
      <c r="AL1854">
        <f t="shared" si="28"/>
        <v>1039</v>
      </c>
      <c r="AM1854">
        <f>IF(OR(Table1[[#This Row],[marital_Married]]=1,Table1[[#This Row],[marital_Together]]=1),1,0)</f>
        <v>1</v>
      </c>
      <c r="AN1854" t="str">
        <f>IF(Table1[[#This Row],[Income]]&gt;=70000,"HIGH INCOME","LOW INCOME")</f>
        <v>LOW INCOME</v>
      </c>
      <c r="AO1854" s="1" t="str">
        <f>IF(Table1[[#This Row],[MNT_TOTAL]]&gt;=900,"HIGH VALUE","LOW VALUE")</f>
        <v>HIGH VALUE</v>
      </c>
      <c r="AP18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4" s="1"/>
      <c r="AR1854" s="1"/>
    </row>
    <row r="1855" spans="1:44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45</v>
      </c>
      <c r="X1855">
        <v>2508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1550</v>
      </c>
      <c r="AJ1855">
        <v>1504</v>
      </c>
      <c r="AK1855">
        <v>0</v>
      </c>
      <c r="AL1855">
        <f t="shared" si="28"/>
        <v>1596</v>
      </c>
      <c r="AM1855">
        <f>IF(OR(Table1[[#This Row],[marital_Married]]=1,Table1[[#This Row],[marital_Together]]=1),1,0)</f>
        <v>0</v>
      </c>
      <c r="AN1855" t="str">
        <f>IF(Table1[[#This Row],[Income]]&gt;=70000,"HIGH INCOME","LOW INCOME")</f>
        <v>HIGH INCOME</v>
      </c>
      <c r="AO1855" s="1" t="str">
        <f>IF(Table1[[#This Row],[MNT_TOTAL]]&gt;=900,"HIGH VALUE","LOW VALUE")</f>
        <v>HIGH VALUE</v>
      </c>
      <c r="AP18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55" s="1"/>
      <c r="AR1855" s="1"/>
    </row>
    <row r="1856" spans="1:44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36</v>
      </c>
      <c r="X1856">
        <v>2781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1795</v>
      </c>
      <c r="AJ1856">
        <v>1762</v>
      </c>
      <c r="AK1856">
        <v>0</v>
      </c>
      <c r="AL1856">
        <f t="shared" si="28"/>
        <v>1828</v>
      </c>
      <c r="AM1856">
        <f>IF(OR(Table1[[#This Row],[marital_Married]]=1,Table1[[#This Row],[marital_Together]]=1),1,0)</f>
        <v>1</v>
      </c>
      <c r="AN1856" t="str">
        <f>IF(Table1[[#This Row],[Income]]&gt;=70000,"HIGH INCOME","LOW INCOME")</f>
        <v>HIGH INCOME</v>
      </c>
      <c r="AO1856" s="1" t="str">
        <f>IF(Table1[[#This Row],[MNT_TOTAL]]&gt;=900,"HIGH VALUE","LOW VALUE")</f>
        <v>HIGH VALUE</v>
      </c>
      <c r="AP18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56" s="1"/>
      <c r="AR1856" s="1"/>
    </row>
    <row r="1857" spans="1:44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51</v>
      </c>
      <c r="X1857">
        <v>2219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22</v>
      </c>
      <c r="AJ1857">
        <v>10</v>
      </c>
      <c r="AK1857">
        <v>1</v>
      </c>
      <c r="AL1857">
        <f t="shared" si="28"/>
        <v>34</v>
      </c>
      <c r="AM1857">
        <f>IF(OR(Table1[[#This Row],[marital_Married]]=1,Table1[[#This Row],[marital_Together]]=1),1,0)</f>
        <v>1</v>
      </c>
      <c r="AN1857" t="str">
        <f>IF(Table1[[#This Row],[Income]]&gt;=70000,"HIGH INCOME","LOW INCOME")</f>
        <v>LOW INCOME</v>
      </c>
      <c r="AO1857" s="1" t="str">
        <f>IF(Table1[[#This Row],[MNT_TOTAL]]&gt;=900,"HIGH VALUE","LOW VALUE")</f>
        <v>LOW VALUE</v>
      </c>
      <c r="AP18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57" s="1"/>
      <c r="AR1857" s="1"/>
    </row>
    <row r="1858" spans="1:44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52</v>
      </c>
      <c r="X1858">
        <v>2231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145</v>
      </c>
      <c r="AJ1858">
        <v>141</v>
      </c>
      <c r="AK1858">
        <v>0</v>
      </c>
      <c r="AL1858">
        <f t="shared" ref="AL1858:AL1921" si="29">SUM(E1858:J1858)</f>
        <v>149</v>
      </c>
      <c r="AM1858">
        <f>IF(OR(Table1[[#This Row],[marital_Married]]=1,Table1[[#This Row],[marital_Together]]=1),1,0)</f>
        <v>0</v>
      </c>
      <c r="AN1858" t="str">
        <f>IF(Table1[[#This Row],[Income]]&gt;=70000,"HIGH INCOME","LOW INCOME")</f>
        <v>LOW INCOME</v>
      </c>
      <c r="AO1858" s="1" t="str">
        <f>IF(Table1[[#This Row],[MNT_TOTAL]]&gt;=900,"HIGH VALUE","LOW VALUE")</f>
        <v>LOW VALUE</v>
      </c>
      <c r="AP18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8" s="1"/>
      <c r="AR1858" s="1"/>
    </row>
    <row r="1859" spans="1:44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51</v>
      </c>
      <c r="X1859">
        <v>2565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838</v>
      </c>
      <c r="AJ1859">
        <v>730</v>
      </c>
      <c r="AK1859">
        <v>1</v>
      </c>
      <c r="AL1859">
        <f t="shared" si="29"/>
        <v>946</v>
      </c>
      <c r="AM1859">
        <f>IF(OR(Table1[[#This Row],[marital_Married]]=1,Table1[[#This Row],[marital_Together]]=1),1,0)</f>
        <v>0</v>
      </c>
      <c r="AN1859" t="str">
        <f>IF(Table1[[#This Row],[Income]]&gt;=70000,"HIGH INCOME","LOW INCOME")</f>
        <v>LOW INCOME</v>
      </c>
      <c r="AO1859" s="1" t="str">
        <f>IF(Table1[[#This Row],[MNT_TOTAL]]&gt;=900,"HIGH VALUE","LOW VALUE")</f>
        <v>HIGH VALUE</v>
      </c>
      <c r="AP18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59" s="1"/>
      <c r="AR1859" s="1"/>
    </row>
    <row r="1860" spans="1:44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35</v>
      </c>
      <c r="X1860">
        <v>2200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28</v>
      </c>
      <c r="AJ1860">
        <v>28</v>
      </c>
      <c r="AK1860">
        <v>0</v>
      </c>
      <c r="AL1860">
        <f t="shared" si="29"/>
        <v>28</v>
      </c>
      <c r="AM1860">
        <f>IF(OR(Table1[[#This Row],[marital_Married]]=1,Table1[[#This Row],[marital_Together]]=1),1,0)</f>
        <v>0</v>
      </c>
      <c r="AN1860" t="str">
        <f>IF(Table1[[#This Row],[Income]]&gt;=70000,"HIGH INCOME","LOW INCOME")</f>
        <v>LOW INCOME</v>
      </c>
      <c r="AO1860" s="1" t="str">
        <f>IF(Table1[[#This Row],[MNT_TOTAL]]&gt;=900,"HIGH VALUE","LOW VALUE")</f>
        <v>LOW VALUE</v>
      </c>
      <c r="AP18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60" s="1"/>
      <c r="AR1860" s="1"/>
    </row>
    <row r="1861" spans="1:44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36</v>
      </c>
      <c r="X1861">
        <v>2762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438</v>
      </c>
      <c r="AJ1861">
        <v>426</v>
      </c>
      <c r="AK1861">
        <v>0</v>
      </c>
      <c r="AL1861">
        <f t="shared" si="29"/>
        <v>450</v>
      </c>
      <c r="AM1861">
        <f>IF(OR(Table1[[#This Row],[marital_Married]]=1,Table1[[#This Row],[marital_Together]]=1),1,0)</f>
        <v>0</v>
      </c>
      <c r="AN1861" t="str">
        <f>IF(Table1[[#This Row],[Income]]&gt;=70000,"HIGH INCOME","LOW INCOME")</f>
        <v>LOW INCOME</v>
      </c>
      <c r="AO1861" s="1" t="str">
        <f>IF(Table1[[#This Row],[MNT_TOTAL]]&gt;=900,"HIGH VALUE","LOW VALUE")</f>
        <v>LOW VALUE</v>
      </c>
      <c r="AP18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61" s="1"/>
      <c r="AR1861" s="1"/>
    </row>
    <row r="1862" spans="1:44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63</v>
      </c>
      <c r="X1862">
        <v>2320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32</v>
      </c>
      <c r="AJ1862">
        <v>18</v>
      </c>
      <c r="AK1862">
        <v>0</v>
      </c>
      <c r="AL1862">
        <f t="shared" si="29"/>
        <v>46</v>
      </c>
      <c r="AM1862">
        <f>IF(OR(Table1[[#This Row],[marital_Married]]=1,Table1[[#This Row],[marital_Together]]=1),1,0)</f>
        <v>1</v>
      </c>
      <c r="AN1862" t="str">
        <f>IF(Table1[[#This Row],[Income]]&gt;=70000,"HIGH INCOME","LOW INCOME")</f>
        <v>LOW INCOME</v>
      </c>
      <c r="AO1862" s="1" t="str">
        <f>IF(Table1[[#This Row],[MNT_TOTAL]]&gt;=900,"HIGH VALUE","LOW VALUE")</f>
        <v>LOW VALUE</v>
      </c>
      <c r="AP18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62" s="1"/>
      <c r="AR1862" s="1"/>
    </row>
    <row r="1863" spans="1:44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49</v>
      </c>
      <c r="X1863">
        <v>2393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1667</v>
      </c>
      <c r="AJ1863">
        <v>1632</v>
      </c>
      <c r="AK1863">
        <v>1</v>
      </c>
      <c r="AL1863">
        <f t="shared" si="29"/>
        <v>1702</v>
      </c>
      <c r="AM1863">
        <f>IF(OR(Table1[[#This Row],[marital_Married]]=1,Table1[[#This Row],[marital_Together]]=1),1,0)</f>
        <v>0</v>
      </c>
      <c r="AN1863" t="str">
        <f>IF(Table1[[#This Row],[Income]]&gt;=70000,"HIGH INCOME","LOW INCOME")</f>
        <v>HIGH INCOME</v>
      </c>
      <c r="AO1863" s="1" t="str">
        <f>IF(Table1[[#This Row],[MNT_TOTAL]]&gt;=900,"HIGH VALUE","LOW VALUE")</f>
        <v>HIGH VALUE</v>
      </c>
      <c r="AP18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63" s="1"/>
      <c r="AR1863" s="1"/>
    </row>
    <row r="1864" spans="1:44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45</v>
      </c>
      <c r="X1864">
        <v>2452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790</v>
      </c>
      <c r="AJ1864">
        <v>760</v>
      </c>
      <c r="AK1864">
        <v>0</v>
      </c>
      <c r="AL1864">
        <f t="shared" si="29"/>
        <v>820</v>
      </c>
      <c r="AM1864">
        <f>IF(OR(Table1[[#This Row],[marital_Married]]=1,Table1[[#This Row],[marital_Together]]=1),1,0)</f>
        <v>1</v>
      </c>
      <c r="AN1864" t="str">
        <f>IF(Table1[[#This Row],[Income]]&gt;=70000,"HIGH INCOME","LOW INCOME")</f>
        <v>HIGH INCOME</v>
      </c>
      <c r="AO1864" s="1" t="str">
        <f>IF(Table1[[#This Row],[MNT_TOTAL]]&gt;=900,"HIGH VALUE","LOW VALUE")</f>
        <v>LOW VALUE</v>
      </c>
      <c r="AP18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64" s="1"/>
      <c r="AR1864" s="1"/>
    </row>
    <row r="1865" spans="1:44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38</v>
      </c>
      <c r="X1865">
        <v>2647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355</v>
      </c>
      <c r="AJ1865">
        <v>328</v>
      </c>
      <c r="AK1865">
        <v>1</v>
      </c>
      <c r="AL1865">
        <f t="shared" si="29"/>
        <v>382</v>
      </c>
      <c r="AM1865">
        <f>IF(OR(Table1[[#This Row],[marital_Married]]=1,Table1[[#This Row],[marital_Together]]=1),1,0)</f>
        <v>1</v>
      </c>
      <c r="AN1865" t="str">
        <f>IF(Table1[[#This Row],[Income]]&gt;=70000,"HIGH INCOME","LOW INCOME")</f>
        <v>LOW INCOME</v>
      </c>
      <c r="AO1865" s="1" t="str">
        <f>IF(Table1[[#This Row],[MNT_TOTAL]]&gt;=900,"HIGH VALUE","LOW VALUE")</f>
        <v>LOW VALUE</v>
      </c>
      <c r="AP18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65" s="1"/>
      <c r="AR1865" s="1"/>
    </row>
    <row r="1866" spans="1:44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32</v>
      </c>
      <c r="X1866">
        <v>2826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1954</v>
      </c>
      <c r="AJ1866">
        <v>1782</v>
      </c>
      <c r="AK1866">
        <v>0</v>
      </c>
      <c r="AL1866">
        <f t="shared" si="29"/>
        <v>2126</v>
      </c>
      <c r="AM1866">
        <f>IF(OR(Table1[[#This Row],[marital_Married]]=1,Table1[[#This Row],[marital_Together]]=1),1,0)</f>
        <v>1</v>
      </c>
      <c r="AN1866" t="str">
        <f>IF(Table1[[#This Row],[Income]]&gt;=70000,"HIGH INCOME","LOW INCOME")</f>
        <v>LOW INCOME</v>
      </c>
      <c r="AO1866" s="1" t="str">
        <f>IF(Table1[[#This Row],[MNT_TOTAL]]&gt;=900,"HIGH VALUE","LOW VALUE")</f>
        <v>HIGH VALUE</v>
      </c>
      <c r="AP18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66" s="1"/>
      <c r="AR1866" s="1"/>
    </row>
    <row r="1867" spans="1:44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31</v>
      </c>
      <c r="X1867">
        <v>2217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1916</v>
      </c>
      <c r="AJ1867">
        <v>1763</v>
      </c>
      <c r="AK1867">
        <v>3</v>
      </c>
      <c r="AL1867">
        <f t="shared" si="29"/>
        <v>2069</v>
      </c>
      <c r="AM1867">
        <f>IF(OR(Table1[[#This Row],[marital_Married]]=1,Table1[[#This Row],[marital_Together]]=1),1,0)</f>
        <v>1</v>
      </c>
      <c r="AN1867" t="str">
        <f>IF(Table1[[#This Row],[Income]]&gt;=70000,"HIGH INCOME","LOW INCOME")</f>
        <v>HIGH INCOME</v>
      </c>
      <c r="AO1867" s="1" t="str">
        <f>IF(Table1[[#This Row],[MNT_TOTAL]]&gt;=900,"HIGH VALUE","LOW VALUE")</f>
        <v>HIGH VALUE</v>
      </c>
      <c r="AP18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67" s="1"/>
      <c r="AR1867" s="1"/>
    </row>
    <row r="1868" spans="1:44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35</v>
      </c>
      <c r="X1868">
        <v>2677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67</v>
      </c>
      <c r="AJ1868">
        <v>62</v>
      </c>
      <c r="AK1868">
        <v>0</v>
      </c>
      <c r="AL1868">
        <f t="shared" si="29"/>
        <v>72</v>
      </c>
      <c r="AM1868">
        <f>IF(OR(Table1[[#This Row],[marital_Married]]=1,Table1[[#This Row],[marital_Together]]=1),1,0)</f>
        <v>1</v>
      </c>
      <c r="AN1868" t="str">
        <f>IF(Table1[[#This Row],[Income]]&gt;=70000,"HIGH INCOME","LOW INCOME")</f>
        <v>LOW INCOME</v>
      </c>
      <c r="AO1868" s="1" t="str">
        <f>IF(Table1[[#This Row],[MNT_TOTAL]]&gt;=900,"HIGH VALUE","LOW VALUE")</f>
        <v>LOW VALUE</v>
      </c>
      <c r="AP18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68" s="1"/>
      <c r="AR1868" s="1"/>
    </row>
    <row r="1869" spans="1:44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52</v>
      </c>
      <c r="X1869">
        <v>2185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704</v>
      </c>
      <c r="AJ1869">
        <v>676</v>
      </c>
      <c r="AK1869">
        <v>2</v>
      </c>
      <c r="AL1869">
        <f t="shared" si="29"/>
        <v>732</v>
      </c>
      <c r="AM1869">
        <f>IF(OR(Table1[[#This Row],[marital_Married]]=1,Table1[[#This Row],[marital_Together]]=1),1,0)</f>
        <v>0</v>
      </c>
      <c r="AN1869" t="str">
        <f>IF(Table1[[#This Row],[Income]]&gt;=70000,"HIGH INCOME","LOW INCOME")</f>
        <v>LOW INCOME</v>
      </c>
      <c r="AO1869" s="1" t="str">
        <f>IF(Table1[[#This Row],[MNT_TOTAL]]&gt;=900,"HIGH VALUE","LOW VALUE")</f>
        <v>LOW VALUE</v>
      </c>
      <c r="AP18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69" s="1"/>
      <c r="AR1869" s="1"/>
    </row>
    <row r="1870" spans="1:44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46</v>
      </c>
      <c r="X1870">
        <v>2193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758</v>
      </c>
      <c r="AJ1870">
        <v>715</v>
      </c>
      <c r="AK1870">
        <v>0</v>
      </c>
      <c r="AL1870">
        <f t="shared" si="29"/>
        <v>801</v>
      </c>
      <c r="AM1870">
        <f>IF(OR(Table1[[#This Row],[marital_Married]]=1,Table1[[#This Row],[marital_Together]]=1),1,0)</f>
        <v>0</v>
      </c>
      <c r="AN1870" t="str">
        <f>IF(Table1[[#This Row],[Income]]&gt;=70000,"HIGH INCOME","LOW INCOME")</f>
        <v>LOW INCOME</v>
      </c>
      <c r="AO1870" s="1" t="str">
        <f>IF(Table1[[#This Row],[MNT_TOTAL]]&gt;=900,"HIGH VALUE","LOW VALUE")</f>
        <v>LOW VALUE</v>
      </c>
      <c r="AP18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0" s="1"/>
      <c r="AR1870" s="1"/>
    </row>
    <row r="1871" spans="1:44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71</v>
      </c>
      <c r="X1871">
        <v>2411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221</v>
      </c>
      <c r="AJ1871">
        <v>206</v>
      </c>
      <c r="AK1871">
        <v>0</v>
      </c>
      <c r="AL1871">
        <f t="shared" si="29"/>
        <v>236</v>
      </c>
      <c r="AM1871">
        <f>IF(OR(Table1[[#This Row],[marital_Married]]=1,Table1[[#This Row],[marital_Together]]=1),1,0)</f>
        <v>0</v>
      </c>
      <c r="AN1871" t="str">
        <f>IF(Table1[[#This Row],[Income]]&gt;=70000,"HIGH INCOME","LOW INCOME")</f>
        <v>LOW INCOME</v>
      </c>
      <c r="AO1871" s="1" t="str">
        <f>IF(Table1[[#This Row],[MNT_TOTAL]]&gt;=900,"HIGH VALUE","LOW VALUE")</f>
        <v>LOW VALUE</v>
      </c>
      <c r="AP18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1" s="1"/>
      <c r="AR1871" s="1"/>
    </row>
    <row r="1872" spans="1:44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42</v>
      </c>
      <c r="X1872">
        <v>2817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44</v>
      </c>
      <c r="AJ1872">
        <v>8</v>
      </c>
      <c r="AK1872">
        <v>1</v>
      </c>
      <c r="AL1872">
        <f t="shared" si="29"/>
        <v>80</v>
      </c>
      <c r="AM1872">
        <f>IF(OR(Table1[[#This Row],[marital_Married]]=1,Table1[[#This Row],[marital_Together]]=1),1,0)</f>
        <v>1</v>
      </c>
      <c r="AN1872" t="str">
        <f>IF(Table1[[#This Row],[Income]]&gt;=70000,"HIGH INCOME","LOW INCOME")</f>
        <v>LOW INCOME</v>
      </c>
      <c r="AO1872" s="1" t="str">
        <f>IF(Table1[[#This Row],[MNT_TOTAL]]&gt;=900,"HIGH VALUE","LOW VALUE")</f>
        <v>LOW VALUE</v>
      </c>
      <c r="AP18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72" s="1"/>
      <c r="AR1872" s="1"/>
    </row>
    <row r="1873" spans="1:44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66</v>
      </c>
      <c r="X1873">
        <v>2249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1606</v>
      </c>
      <c r="AJ1873">
        <v>1527</v>
      </c>
      <c r="AK1873">
        <v>1</v>
      </c>
      <c r="AL1873">
        <f t="shared" si="29"/>
        <v>1685</v>
      </c>
      <c r="AM1873">
        <f>IF(OR(Table1[[#This Row],[marital_Married]]=1,Table1[[#This Row],[marital_Together]]=1),1,0)</f>
        <v>0</v>
      </c>
      <c r="AN1873" t="str">
        <f>IF(Table1[[#This Row],[Income]]&gt;=70000,"HIGH INCOME","LOW INCOME")</f>
        <v>HIGH INCOME</v>
      </c>
      <c r="AO1873" s="1" t="str">
        <f>IF(Table1[[#This Row],[MNT_TOTAL]]&gt;=900,"HIGH VALUE","LOW VALUE")</f>
        <v>HIGH VALUE</v>
      </c>
      <c r="AP18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73" s="1"/>
      <c r="AR1873" s="1"/>
    </row>
    <row r="1874" spans="1:44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75</v>
      </c>
      <c r="X1874">
        <v>2191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274</v>
      </c>
      <c r="AJ1874">
        <v>271</v>
      </c>
      <c r="AK1874">
        <v>0</v>
      </c>
      <c r="AL1874">
        <f t="shared" si="29"/>
        <v>277</v>
      </c>
      <c r="AM1874">
        <f>IF(OR(Table1[[#This Row],[marital_Married]]=1,Table1[[#This Row],[marital_Together]]=1),1,0)</f>
        <v>0</v>
      </c>
      <c r="AN1874" t="str">
        <f>IF(Table1[[#This Row],[Income]]&gt;=70000,"HIGH INCOME","LOW INCOME")</f>
        <v>HIGH INCOME</v>
      </c>
      <c r="AO1874" s="1" t="str">
        <f>IF(Table1[[#This Row],[MNT_TOTAL]]&gt;=900,"HIGH VALUE","LOW VALUE")</f>
        <v>LOW VALUE</v>
      </c>
      <c r="AP18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4" s="1"/>
      <c r="AR1874" s="1"/>
    </row>
    <row r="1875" spans="1:44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70</v>
      </c>
      <c r="X1875">
        <v>2540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493</v>
      </c>
      <c r="AJ1875">
        <v>479</v>
      </c>
      <c r="AK1875">
        <v>0</v>
      </c>
      <c r="AL1875">
        <f t="shared" si="29"/>
        <v>507</v>
      </c>
      <c r="AM1875">
        <f>IF(OR(Table1[[#This Row],[marital_Married]]=1,Table1[[#This Row],[marital_Together]]=1),1,0)</f>
        <v>1</v>
      </c>
      <c r="AN1875" t="str">
        <f>IF(Table1[[#This Row],[Income]]&gt;=70000,"HIGH INCOME","LOW INCOME")</f>
        <v>LOW INCOME</v>
      </c>
      <c r="AO1875" s="1" t="str">
        <f>IF(Table1[[#This Row],[MNT_TOTAL]]&gt;=900,"HIGH VALUE","LOW VALUE")</f>
        <v>LOW VALUE</v>
      </c>
      <c r="AP18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75" s="1"/>
      <c r="AR1875" s="1"/>
    </row>
    <row r="1876" spans="1:44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56</v>
      </c>
      <c r="X1876">
        <v>2650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64</v>
      </c>
      <c r="AJ1876">
        <v>60</v>
      </c>
      <c r="AK1876">
        <v>0</v>
      </c>
      <c r="AL1876">
        <f t="shared" si="29"/>
        <v>68</v>
      </c>
      <c r="AM1876">
        <f>IF(OR(Table1[[#This Row],[marital_Married]]=1,Table1[[#This Row],[marital_Together]]=1),1,0)</f>
        <v>1</v>
      </c>
      <c r="AN1876" t="str">
        <f>IF(Table1[[#This Row],[Income]]&gt;=70000,"HIGH INCOME","LOW INCOME")</f>
        <v>LOW INCOME</v>
      </c>
      <c r="AO1876" s="1" t="str">
        <f>IF(Table1[[#This Row],[MNT_TOTAL]]&gt;=900,"HIGH VALUE","LOW VALUE")</f>
        <v>LOW VALUE</v>
      </c>
      <c r="AP18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76" s="1"/>
      <c r="AR1876" s="1"/>
    </row>
    <row r="1877" spans="1:44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37</v>
      </c>
      <c r="X1877">
        <v>2236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38</v>
      </c>
      <c r="AJ1877">
        <v>27</v>
      </c>
      <c r="AK1877">
        <v>0</v>
      </c>
      <c r="AL1877">
        <f t="shared" si="29"/>
        <v>49</v>
      </c>
      <c r="AM1877">
        <f>IF(OR(Table1[[#This Row],[marital_Married]]=1,Table1[[#This Row],[marital_Together]]=1),1,0)</f>
        <v>0</v>
      </c>
      <c r="AN1877" t="str">
        <f>IF(Table1[[#This Row],[Income]]&gt;=70000,"HIGH INCOME","LOW INCOME")</f>
        <v>LOW INCOME</v>
      </c>
      <c r="AO1877" s="1" t="str">
        <f>IF(Table1[[#This Row],[MNT_TOTAL]]&gt;=900,"HIGH VALUE","LOW VALUE")</f>
        <v>LOW VALUE</v>
      </c>
      <c r="AP18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7" s="1"/>
      <c r="AR1877" s="1"/>
    </row>
    <row r="1878" spans="1:44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33</v>
      </c>
      <c r="X1878">
        <v>2262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386</v>
      </c>
      <c r="AJ1878">
        <v>375</v>
      </c>
      <c r="AK1878">
        <v>0</v>
      </c>
      <c r="AL1878">
        <f t="shared" si="29"/>
        <v>397</v>
      </c>
      <c r="AM1878">
        <f>IF(OR(Table1[[#This Row],[marital_Married]]=1,Table1[[#This Row],[marital_Together]]=1),1,0)</f>
        <v>1</v>
      </c>
      <c r="AN1878" t="str">
        <f>IF(Table1[[#This Row],[Income]]&gt;=70000,"HIGH INCOME","LOW INCOME")</f>
        <v>HIGH INCOME</v>
      </c>
      <c r="AO1878" s="1" t="str">
        <f>IF(Table1[[#This Row],[MNT_TOTAL]]&gt;=900,"HIGH VALUE","LOW VALUE")</f>
        <v>LOW VALUE</v>
      </c>
      <c r="AP18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8" s="1"/>
      <c r="AR1878" s="1"/>
    </row>
    <row r="1879" spans="1:44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49</v>
      </c>
      <c r="X1879">
        <v>2407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37</v>
      </c>
      <c r="AJ1879">
        <v>35</v>
      </c>
      <c r="AK1879">
        <v>0</v>
      </c>
      <c r="AL1879">
        <f t="shared" si="29"/>
        <v>39</v>
      </c>
      <c r="AM1879">
        <f>IF(OR(Table1[[#This Row],[marital_Married]]=1,Table1[[#This Row],[marital_Together]]=1),1,0)</f>
        <v>0</v>
      </c>
      <c r="AN1879" t="str">
        <f>IF(Table1[[#This Row],[Income]]&gt;=70000,"HIGH INCOME","LOW INCOME")</f>
        <v>LOW INCOME</v>
      </c>
      <c r="AO1879" s="1" t="str">
        <f>IF(Table1[[#This Row],[MNT_TOTAL]]&gt;=900,"HIGH VALUE","LOW VALUE")</f>
        <v>LOW VALUE</v>
      </c>
      <c r="AP18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79" s="1"/>
      <c r="AR1879" s="1"/>
    </row>
    <row r="1880" spans="1:44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52</v>
      </c>
      <c r="X1880">
        <v>2314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297</v>
      </c>
      <c r="AJ1880">
        <v>288</v>
      </c>
      <c r="AK1880">
        <v>1</v>
      </c>
      <c r="AL1880">
        <f t="shared" si="29"/>
        <v>306</v>
      </c>
      <c r="AM1880">
        <f>IF(OR(Table1[[#This Row],[marital_Married]]=1,Table1[[#This Row],[marital_Together]]=1),1,0)</f>
        <v>1</v>
      </c>
      <c r="AN1880" t="str">
        <f>IF(Table1[[#This Row],[Income]]&gt;=70000,"HIGH INCOME","LOW INCOME")</f>
        <v>LOW INCOME</v>
      </c>
      <c r="AO1880" s="1" t="str">
        <f>IF(Table1[[#This Row],[MNT_TOTAL]]&gt;=900,"HIGH VALUE","LOW VALUE")</f>
        <v>LOW VALUE</v>
      </c>
      <c r="AP18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80" s="1"/>
      <c r="AR1880" s="1"/>
    </row>
    <row r="1881" spans="1:44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66</v>
      </c>
      <c r="X1881">
        <v>2573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923</v>
      </c>
      <c r="AJ1881">
        <v>870</v>
      </c>
      <c r="AK1881">
        <v>0</v>
      </c>
      <c r="AL1881">
        <f t="shared" si="29"/>
        <v>976</v>
      </c>
      <c r="AM1881">
        <f>IF(OR(Table1[[#This Row],[marital_Married]]=1,Table1[[#This Row],[marital_Together]]=1),1,0)</f>
        <v>1</v>
      </c>
      <c r="AN1881" t="str">
        <f>IF(Table1[[#This Row],[Income]]&gt;=70000,"HIGH INCOME","LOW INCOME")</f>
        <v>LOW INCOME</v>
      </c>
      <c r="AO1881" s="1" t="str">
        <f>IF(Table1[[#This Row],[MNT_TOTAL]]&gt;=900,"HIGH VALUE","LOW VALUE")</f>
        <v>HIGH VALUE</v>
      </c>
      <c r="AP18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81" s="1"/>
      <c r="AR1881" s="1"/>
    </row>
    <row r="1882" spans="1:44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49</v>
      </c>
      <c r="X1882">
        <v>2455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>
        <v>952</v>
      </c>
      <c r="AJ1882">
        <v>876</v>
      </c>
      <c r="AK1882">
        <v>0</v>
      </c>
      <c r="AL1882">
        <f t="shared" si="29"/>
        <v>1028</v>
      </c>
      <c r="AM1882">
        <f>IF(OR(Table1[[#This Row],[marital_Married]]=1,Table1[[#This Row],[marital_Together]]=1),1,0)</f>
        <v>1</v>
      </c>
      <c r="AN1882" t="str">
        <f>IF(Table1[[#This Row],[Income]]&gt;=70000,"HIGH INCOME","LOW INCOME")</f>
        <v>LOW INCOME</v>
      </c>
      <c r="AO1882" s="1" t="str">
        <f>IF(Table1[[#This Row],[MNT_TOTAL]]&gt;=900,"HIGH VALUE","LOW VALUE")</f>
        <v>HIGH VALUE</v>
      </c>
      <c r="AP18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82" s="1"/>
      <c r="AR1882" s="1"/>
    </row>
    <row r="1883" spans="1:44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34</v>
      </c>
      <c r="X1883">
        <v>2303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64</v>
      </c>
      <c r="AJ1883">
        <v>58</v>
      </c>
      <c r="AK1883">
        <v>0</v>
      </c>
      <c r="AL1883">
        <f t="shared" si="29"/>
        <v>70</v>
      </c>
      <c r="AM1883">
        <f>IF(OR(Table1[[#This Row],[marital_Married]]=1,Table1[[#This Row],[marital_Together]]=1),1,0)</f>
        <v>1</v>
      </c>
      <c r="AN1883" t="str">
        <f>IF(Table1[[#This Row],[Income]]&gt;=70000,"HIGH INCOME","LOW INCOME")</f>
        <v>LOW INCOME</v>
      </c>
      <c r="AO1883" s="1" t="str">
        <f>IF(Table1[[#This Row],[MNT_TOTAL]]&gt;=900,"HIGH VALUE","LOW VALUE")</f>
        <v>LOW VALUE</v>
      </c>
      <c r="AP18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83" s="1"/>
      <c r="AR1883" s="1"/>
    </row>
    <row r="1884" spans="1:44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61</v>
      </c>
      <c r="X1884">
        <v>2626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41</v>
      </c>
      <c r="AJ1884">
        <v>36</v>
      </c>
      <c r="AK1884">
        <v>0</v>
      </c>
      <c r="AL1884">
        <f t="shared" si="29"/>
        <v>46</v>
      </c>
      <c r="AM1884">
        <f>IF(OR(Table1[[#This Row],[marital_Married]]=1,Table1[[#This Row],[marital_Together]]=1),1,0)</f>
        <v>1</v>
      </c>
      <c r="AN1884" t="str">
        <f>IF(Table1[[#This Row],[Income]]&gt;=70000,"HIGH INCOME","LOW INCOME")</f>
        <v>LOW INCOME</v>
      </c>
      <c r="AO1884" s="1" t="str">
        <f>IF(Table1[[#This Row],[MNT_TOTAL]]&gt;=900,"HIGH VALUE","LOW VALUE")</f>
        <v>LOW VALUE</v>
      </c>
      <c r="AP18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84" s="1"/>
      <c r="AR1884" s="1"/>
    </row>
    <row r="1885" spans="1:44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40</v>
      </c>
      <c r="X1885">
        <v>2435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32</v>
      </c>
      <c r="AJ1885">
        <v>13</v>
      </c>
      <c r="AK1885">
        <v>1</v>
      </c>
      <c r="AL1885">
        <f t="shared" si="29"/>
        <v>51</v>
      </c>
      <c r="AM1885">
        <f>IF(OR(Table1[[#This Row],[marital_Married]]=1,Table1[[#This Row],[marital_Together]]=1),1,0)</f>
        <v>1</v>
      </c>
      <c r="AN1885" t="str">
        <f>IF(Table1[[#This Row],[Income]]&gt;=70000,"HIGH INCOME","LOW INCOME")</f>
        <v>LOW INCOME</v>
      </c>
      <c r="AO1885" s="1" t="str">
        <f>IF(Table1[[#This Row],[MNT_TOTAL]]&gt;=900,"HIGH VALUE","LOW VALUE")</f>
        <v>LOW VALUE</v>
      </c>
      <c r="AP18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85" s="1"/>
      <c r="AR1885" s="1"/>
    </row>
    <row r="1886" spans="1:44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60</v>
      </c>
      <c r="X1886">
        <v>2229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1235</v>
      </c>
      <c r="AJ1886">
        <v>1207</v>
      </c>
      <c r="AK1886">
        <v>0</v>
      </c>
      <c r="AL1886">
        <f t="shared" si="29"/>
        <v>1263</v>
      </c>
      <c r="AM1886">
        <f>IF(OR(Table1[[#This Row],[marital_Married]]=1,Table1[[#This Row],[marital_Together]]=1),1,0)</f>
        <v>1</v>
      </c>
      <c r="AN1886" t="str">
        <f>IF(Table1[[#This Row],[Income]]&gt;=70000,"HIGH INCOME","LOW INCOME")</f>
        <v>HIGH INCOME</v>
      </c>
      <c r="AO1886" s="1" t="str">
        <f>IF(Table1[[#This Row],[MNT_TOTAL]]&gt;=900,"HIGH VALUE","LOW VALUE")</f>
        <v>HIGH VALUE</v>
      </c>
      <c r="AP18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86" s="1"/>
      <c r="AR1886" s="1"/>
    </row>
    <row r="1887" spans="1:44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50</v>
      </c>
      <c r="X1887">
        <v>2755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1383</v>
      </c>
      <c r="AJ1887">
        <v>1276</v>
      </c>
      <c r="AK1887">
        <v>1</v>
      </c>
      <c r="AL1887">
        <f t="shared" si="29"/>
        <v>1490</v>
      </c>
      <c r="AM1887">
        <f>IF(OR(Table1[[#This Row],[marital_Married]]=1,Table1[[#This Row],[marital_Together]]=1),1,0)</f>
        <v>0</v>
      </c>
      <c r="AN1887" t="str">
        <f>IF(Table1[[#This Row],[Income]]&gt;=70000,"HIGH INCOME","LOW INCOME")</f>
        <v>LOW INCOME</v>
      </c>
      <c r="AO1887" s="1" t="str">
        <f>IF(Table1[[#This Row],[MNT_TOTAL]]&gt;=900,"HIGH VALUE","LOW VALUE")</f>
        <v>HIGH VALUE</v>
      </c>
      <c r="AP18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87" s="1"/>
      <c r="AR1887" s="1"/>
    </row>
    <row r="1888" spans="1:44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49</v>
      </c>
      <c r="X1888">
        <v>2782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1549</v>
      </c>
      <c r="AJ1888">
        <v>1534</v>
      </c>
      <c r="AK1888">
        <v>0</v>
      </c>
      <c r="AL1888">
        <f t="shared" si="29"/>
        <v>1564</v>
      </c>
      <c r="AM1888">
        <f>IF(OR(Table1[[#This Row],[marital_Married]]=1,Table1[[#This Row],[marital_Together]]=1),1,0)</f>
        <v>1</v>
      </c>
      <c r="AN1888" t="str">
        <f>IF(Table1[[#This Row],[Income]]&gt;=70000,"HIGH INCOME","LOW INCOME")</f>
        <v>HIGH INCOME</v>
      </c>
      <c r="AO1888" s="1" t="str">
        <f>IF(Table1[[#This Row],[MNT_TOTAL]]&gt;=900,"HIGH VALUE","LOW VALUE")</f>
        <v>HIGH VALUE</v>
      </c>
      <c r="AP18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88" s="1"/>
      <c r="AR1888" s="1"/>
    </row>
    <row r="1889" spans="1:44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1</v>
      </c>
      <c r="W1889">
        <v>53</v>
      </c>
      <c r="X1889">
        <v>2835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1682</v>
      </c>
      <c r="AJ1889">
        <v>1549</v>
      </c>
      <c r="AK1889">
        <v>2</v>
      </c>
      <c r="AL1889">
        <f t="shared" si="29"/>
        <v>1815</v>
      </c>
      <c r="AM1889">
        <f>IF(OR(Table1[[#This Row],[marital_Married]]=1,Table1[[#This Row],[marital_Together]]=1),1,0)</f>
        <v>1</v>
      </c>
      <c r="AN1889" t="str">
        <f>IF(Table1[[#This Row],[Income]]&gt;=70000,"HIGH INCOME","LOW INCOME")</f>
        <v>HIGH INCOME</v>
      </c>
      <c r="AO1889" s="1" t="str">
        <f>IF(Table1[[#This Row],[MNT_TOTAL]]&gt;=900,"HIGH VALUE","LOW VALUE")</f>
        <v>HIGH VALUE</v>
      </c>
      <c r="AP18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89" s="1"/>
      <c r="AR1889" s="1"/>
    </row>
    <row r="1890" spans="1:44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57</v>
      </c>
      <c r="X1890">
        <v>2679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>
        <v>1024</v>
      </c>
      <c r="AJ1890">
        <v>850</v>
      </c>
      <c r="AK1890">
        <v>0</v>
      </c>
      <c r="AL1890">
        <f t="shared" si="29"/>
        <v>1198</v>
      </c>
      <c r="AM1890">
        <f>IF(OR(Table1[[#This Row],[marital_Married]]=1,Table1[[#This Row],[marital_Together]]=1),1,0)</f>
        <v>0</v>
      </c>
      <c r="AN1890" t="str">
        <f>IF(Table1[[#This Row],[Income]]&gt;=70000,"HIGH INCOME","LOW INCOME")</f>
        <v>LOW INCOME</v>
      </c>
      <c r="AO1890" s="1" t="str">
        <f>IF(Table1[[#This Row],[MNT_TOTAL]]&gt;=900,"HIGH VALUE","LOW VALUE")</f>
        <v>HIGH VALUE</v>
      </c>
      <c r="AP18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0" s="1"/>
      <c r="AR1890" s="1"/>
    </row>
    <row r="1891" spans="1:44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1</v>
      </c>
      <c r="W1891">
        <v>52</v>
      </c>
      <c r="X1891">
        <v>2833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279</v>
      </c>
      <c r="AJ1891">
        <v>142</v>
      </c>
      <c r="AK1891">
        <v>2</v>
      </c>
      <c r="AL1891">
        <f t="shared" si="29"/>
        <v>416</v>
      </c>
      <c r="AM1891">
        <f>IF(OR(Table1[[#This Row],[marital_Married]]=1,Table1[[#This Row],[marital_Together]]=1),1,0)</f>
        <v>0</v>
      </c>
      <c r="AN1891" t="str">
        <f>IF(Table1[[#This Row],[Income]]&gt;=70000,"HIGH INCOME","LOW INCOME")</f>
        <v>LOW INCOME</v>
      </c>
      <c r="AO1891" s="1" t="str">
        <f>IF(Table1[[#This Row],[MNT_TOTAL]]&gt;=900,"HIGH VALUE","LOW VALUE")</f>
        <v>LOW VALUE</v>
      </c>
      <c r="AP18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1" s="1"/>
      <c r="AR1891" s="1"/>
    </row>
    <row r="1892" spans="1:44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30</v>
      </c>
      <c r="X1892">
        <v>2657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67</v>
      </c>
      <c r="AJ1892">
        <v>49</v>
      </c>
      <c r="AK1892">
        <v>0</v>
      </c>
      <c r="AL1892">
        <f t="shared" si="29"/>
        <v>85</v>
      </c>
      <c r="AM1892">
        <f>IF(OR(Table1[[#This Row],[marital_Married]]=1,Table1[[#This Row],[marital_Together]]=1),1,0)</f>
        <v>1</v>
      </c>
      <c r="AN1892" t="str">
        <f>IF(Table1[[#This Row],[Income]]&gt;=70000,"HIGH INCOME","LOW INCOME")</f>
        <v>LOW INCOME</v>
      </c>
      <c r="AO1892" s="1" t="str">
        <f>IF(Table1[[#This Row],[MNT_TOTAL]]&gt;=900,"HIGH VALUE","LOW VALUE")</f>
        <v>LOW VALUE</v>
      </c>
      <c r="AP18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92" s="1"/>
      <c r="AR1892" s="1"/>
    </row>
    <row r="1893" spans="1:44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39</v>
      </c>
      <c r="X1893">
        <v>2553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>
        <v>40</v>
      </c>
      <c r="AJ1893">
        <v>33</v>
      </c>
      <c r="AK1893">
        <v>0</v>
      </c>
      <c r="AL1893">
        <f t="shared" si="29"/>
        <v>47</v>
      </c>
      <c r="AM1893">
        <f>IF(OR(Table1[[#This Row],[marital_Married]]=1,Table1[[#This Row],[marital_Together]]=1),1,0)</f>
        <v>0</v>
      </c>
      <c r="AN1893" t="str">
        <f>IF(Table1[[#This Row],[Income]]&gt;=70000,"HIGH INCOME","LOW INCOME")</f>
        <v>LOW INCOME</v>
      </c>
      <c r="AO1893" s="1" t="str">
        <f>IF(Table1[[#This Row],[MNT_TOTAL]]&gt;=900,"HIGH VALUE","LOW VALUE")</f>
        <v>LOW VALUE</v>
      </c>
      <c r="AP18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3" s="1"/>
      <c r="AR1893" s="1"/>
    </row>
    <row r="1894" spans="1:44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44</v>
      </c>
      <c r="X1894">
        <v>2653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119</v>
      </c>
      <c r="AJ1894">
        <v>101</v>
      </c>
      <c r="AK1894">
        <v>0</v>
      </c>
      <c r="AL1894">
        <f t="shared" si="29"/>
        <v>137</v>
      </c>
      <c r="AM1894">
        <f>IF(OR(Table1[[#This Row],[marital_Married]]=1,Table1[[#This Row],[marital_Together]]=1),1,0)</f>
        <v>0</v>
      </c>
      <c r="AN1894" t="str">
        <f>IF(Table1[[#This Row],[Income]]&gt;=70000,"HIGH INCOME","LOW INCOME")</f>
        <v>LOW INCOME</v>
      </c>
      <c r="AO1894" s="1" t="str">
        <f>IF(Table1[[#This Row],[MNT_TOTAL]]&gt;=900,"HIGH VALUE","LOW VALUE")</f>
        <v>LOW VALUE</v>
      </c>
      <c r="AP18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4" s="1"/>
      <c r="AR1894" s="1"/>
    </row>
    <row r="1895" spans="1:44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55</v>
      </c>
      <c r="X1895">
        <v>2709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19</v>
      </c>
      <c r="AJ1895">
        <v>17</v>
      </c>
      <c r="AK1895">
        <v>0</v>
      </c>
      <c r="AL1895">
        <f t="shared" si="29"/>
        <v>21</v>
      </c>
      <c r="AM1895">
        <f>IF(OR(Table1[[#This Row],[marital_Married]]=1,Table1[[#This Row],[marital_Together]]=1),1,0)</f>
        <v>1</v>
      </c>
      <c r="AN1895" t="str">
        <f>IF(Table1[[#This Row],[Income]]&gt;=70000,"HIGH INCOME","LOW INCOME")</f>
        <v>LOW INCOME</v>
      </c>
      <c r="AO1895" s="1" t="str">
        <f>IF(Table1[[#This Row],[MNT_TOTAL]]&gt;=900,"HIGH VALUE","LOW VALUE")</f>
        <v>LOW VALUE</v>
      </c>
      <c r="AP18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895" s="1"/>
      <c r="AR1895" s="1"/>
    </row>
    <row r="1896" spans="1:44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43</v>
      </c>
      <c r="X1896">
        <v>2166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47</v>
      </c>
      <c r="AJ1896">
        <v>24</v>
      </c>
      <c r="AK1896">
        <v>0</v>
      </c>
      <c r="AL1896">
        <f t="shared" si="29"/>
        <v>70</v>
      </c>
      <c r="AM1896">
        <f>IF(OR(Table1[[#This Row],[marital_Married]]=1,Table1[[#This Row],[marital_Together]]=1),1,0)</f>
        <v>0</v>
      </c>
      <c r="AN1896" t="str">
        <f>IF(Table1[[#This Row],[Income]]&gt;=70000,"HIGH INCOME","LOW INCOME")</f>
        <v>LOW INCOME</v>
      </c>
      <c r="AO1896" s="1" t="str">
        <f>IF(Table1[[#This Row],[MNT_TOTAL]]&gt;=900,"HIGH VALUE","LOW VALUE")</f>
        <v>LOW VALUE</v>
      </c>
      <c r="AP18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896" s="1"/>
      <c r="AR1896" s="1"/>
    </row>
    <row r="1897" spans="1:44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48</v>
      </c>
      <c r="X1897">
        <v>2320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724</v>
      </c>
      <c r="AJ1897">
        <v>539</v>
      </c>
      <c r="AK1897">
        <v>0</v>
      </c>
      <c r="AL1897">
        <f t="shared" si="29"/>
        <v>909</v>
      </c>
      <c r="AM1897">
        <f>IF(OR(Table1[[#This Row],[marital_Married]]=1,Table1[[#This Row],[marital_Together]]=1),1,0)</f>
        <v>1</v>
      </c>
      <c r="AN1897" t="str">
        <f>IF(Table1[[#This Row],[Income]]&gt;=70000,"HIGH INCOME","LOW INCOME")</f>
        <v>HIGH INCOME</v>
      </c>
      <c r="AO1897" s="1" t="str">
        <f>IF(Table1[[#This Row],[MNT_TOTAL]]&gt;=900,"HIGH VALUE","LOW VALUE")</f>
        <v>HIGH VALUE</v>
      </c>
      <c r="AP18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897" s="1"/>
      <c r="AR1897" s="1"/>
    </row>
    <row r="1898" spans="1:44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0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1</v>
      </c>
      <c r="W1898">
        <v>64</v>
      </c>
      <c r="X1898">
        <v>2776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1649</v>
      </c>
      <c r="AJ1898">
        <v>1622</v>
      </c>
      <c r="AK1898">
        <v>4</v>
      </c>
      <c r="AL1898">
        <f t="shared" si="29"/>
        <v>1676</v>
      </c>
      <c r="AM1898">
        <f>IF(OR(Table1[[#This Row],[marital_Married]]=1,Table1[[#This Row],[marital_Together]]=1),1,0)</f>
        <v>0</v>
      </c>
      <c r="AN1898" t="str">
        <f>IF(Table1[[#This Row],[Income]]&gt;=70000,"HIGH INCOME","LOW INCOME")</f>
        <v>HIGH INCOME</v>
      </c>
      <c r="AO1898" s="1" t="str">
        <f>IF(Table1[[#This Row],[MNT_TOTAL]]&gt;=900,"HIGH VALUE","LOW VALUE")</f>
        <v>HIGH VALUE</v>
      </c>
      <c r="AP18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98" s="1"/>
      <c r="AR1898" s="1"/>
    </row>
    <row r="1899" spans="1:44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77</v>
      </c>
      <c r="X1899">
        <v>2430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1702</v>
      </c>
      <c r="AJ1899">
        <v>1669</v>
      </c>
      <c r="AK1899">
        <v>1</v>
      </c>
      <c r="AL1899">
        <f t="shared" si="29"/>
        <v>1735</v>
      </c>
      <c r="AM1899">
        <f>IF(OR(Table1[[#This Row],[marital_Married]]=1,Table1[[#This Row],[marital_Together]]=1),1,0)</f>
        <v>0</v>
      </c>
      <c r="AN1899" t="str">
        <f>IF(Table1[[#This Row],[Income]]&gt;=70000,"HIGH INCOME","LOW INCOME")</f>
        <v>HIGH INCOME</v>
      </c>
      <c r="AO1899" s="1" t="str">
        <f>IF(Table1[[#This Row],[MNT_TOTAL]]&gt;=900,"HIGH VALUE","LOW VALUE")</f>
        <v>HIGH VALUE</v>
      </c>
      <c r="AP18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899" s="1"/>
      <c r="AR1899" s="1"/>
    </row>
    <row r="1900" spans="1:44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61</v>
      </c>
      <c r="X1900">
        <v>2696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1169</v>
      </c>
      <c r="AJ1900">
        <v>1147</v>
      </c>
      <c r="AK1900">
        <v>0</v>
      </c>
      <c r="AL1900">
        <f t="shared" si="29"/>
        <v>1191</v>
      </c>
      <c r="AM1900">
        <f>IF(OR(Table1[[#This Row],[marital_Married]]=1,Table1[[#This Row],[marital_Together]]=1),1,0)</f>
        <v>0</v>
      </c>
      <c r="AN1900" t="str">
        <f>IF(Table1[[#This Row],[Income]]&gt;=70000,"HIGH INCOME","LOW INCOME")</f>
        <v>HIGH INCOME</v>
      </c>
      <c r="AO1900" s="1" t="str">
        <f>IF(Table1[[#This Row],[MNT_TOTAL]]&gt;=900,"HIGH VALUE","LOW VALUE")</f>
        <v>HIGH VALUE</v>
      </c>
      <c r="AP19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00" s="1"/>
      <c r="AR1900" s="1"/>
    </row>
    <row r="1901" spans="1:44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43</v>
      </c>
      <c r="X1901">
        <v>2456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19</v>
      </c>
      <c r="AJ1901">
        <v>14</v>
      </c>
      <c r="AK1901">
        <v>0</v>
      </c>
      <c r="AL1901">
        <f t="shared" si="29"/>
        <v>24</v>
      </c>
      <c r="AM1901">
        <f>IF(OR(Table1[[#This Row],[marital_Married]]=1,Table1[[#This Row],[marital_Together]]=1),1,0)</f>
        <v>1</v>
      </c>
      <c r="AN1901" t="str">
        <f>IF(Table1[[#This Row],[Income]]&gt;=70000,"HIGH INCOME","LOW INCOME")</f>
        <v>LOW INCOME</v>
      </c>
      <c r="AO1901" s="1" t="str">
        <f>IF(Table1[[#This Row],[MNT_TOTAL]]&gt;=900,"HIGH VALUE","LOW VALUE")</f>
        <v>LOW VALUE</v>
      </c>
      <c r="AP19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1" s="1"/>
      <c r="AR1901" s="1"/>
    </row>
    <row r="1902" spans="1:44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51</v>
      </c>
      <c r="X1902">
        <v>2742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>
        <v>1148</v>
      </c>
      <c r="AJ1902">
        <v>1114</v>
      </c>
      <c r="AK1902">
        <v>2</v>
      </c>
      <c r="AL1902">
        <f t="shared" si="29"/>
        <v>1182</v>
      </c>
      <c r="AM1902">
        <f>IF(OR(Table1[[#This Row],[marital_Married]]=1,Table1[[#This Row],[marital_Together]]=1),1,0)</f>
        <v>1</v>
      </c>
      <c r="AN1902" t="str">
        <f>IF(Table1[[#This Row],[Income]]&gt;=70000,"HIGH INCOME","LOW INCOME")</f>
        <v>LOW INCOME</v>
      </c>
      <c r="AO1902" s="1" t="str">
        <f>IF(Table1[[#This Row],[MNT_TOTAL]]&gt;=900,"HIGH VALUE","LOW VALUE")</f>
        <v>HIGH VALUE</v>
      </c>
      <c r="AP19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02" s="1"/>
      <c r="AR1902" s="1"/>
    </row>
    <row r="1903" spans="1:44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50</v>
      </c>
      <c r="X1903">
        <v>2530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1253</v>
      </c>
      <c r="AJ1903">
        <v>1226</v>
      </c>
      <c r="AK1903">
        <v>0</v>
      </c>
      <c r="AL1903">
        <f t="shared" si="29"/>
        <v>1280</v>
      </c>
      <c r="AM1903">
        <f>IF(OR(Table1[[#This Row],[marital_Married]]=1,Table1[[#This Row],[marital_Together]]=1),1,0)</f>
        <v>1</v>
      </c>
      <c r="AN1903" t="str">
        <f>IF(Table1[[#This Row],[Income]]&gt;=70000,"HIGH INCOME","LOW INCOME")</f>
        <v>HIGH INCOME</v>
      </c>
      <c r="AO1903" s="1" t="str">
        <f>IF(Table1[[#This Row],[MNT_TOTAL]]&gt;=900,"HIGH VALUE","LOW VALUE")</f>
        <v>HIGH VALUE</v>
      </c>
      <c r="AP19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03" s="1"/>
      <c r="AR1903" s="1"/>
    </row>
    <row r="1904" spans="1:44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63</v>
      </c>
      <c r="X1904">
        <v>2752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1228</v>
      </c>
      <c r="AJ1904">
        <v>1120</v>
      </c>
      <c r="AK1904">
        <v>0</v>
      </c>
      <c r="AL1904">
        <f t="shared" si="29"/>
        <v>1336</v>
      </c>
      <c r="AM1904">
        <f>IF(OR(Table1[[#This Row],[marital_Married]]=1,Table1[[#This Row],[marital_Together]]=1),1,0)</f>
        <v>0</v>
      </c>
      <c r="AN1904" t="str">
        <f>IF(Table1[[#This Row],[Income]]&gt;=70000,"HIGH INCOME","LOW INCOME")</f>
        <v>LOW INCOME</v>
      </c>
      <c r="AO1904" s="1" t="str">
        <f>IF(Table1[[#This Row],[MNT_TOTAL]]&gt;=900,"HIGH VALUE","LOW VALUE")</f>
        <v>HIGH VALUE</v>
      </c>
      <c r="AP19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04" s="1"/>
      <c r="AR1904" s="1"/>
    </row>
    <row r="1905" spans="1:44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55</v>
      </c>
      <c r="X1905">
        <v>2536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658</v>
      </c>
      <c r="AJ1905">
        <v>567</v>
      </c>
      <c r="AK1905">
        <v>0</v>
      </c>
      <c r="AL1905">
        <f t="shared" si="29"/>
        <v>749</v>
      </c>
      <c r="AM1905">
        <f>IF(OR(Table1[[#This Row],[marital_Married]]=1,Table1[[#This Row],[marital_Together]]=1),1,0)</f>
        <v>1</v>
      </c>
      <c r="AN1905" t="str">
        <f>IF(Table1[[#This Row],[Income]]&gt;=70000,"HIGH INCOME","LOW INCOME")</f>
        <v>LOW INCOME</v>
      </c>
      <c r="AO1905" s="1" t="str">
        <f>IF(Table1[[#This Row],[MNT_TOTAL]]&gt;=900,"HIGH VALUE","LOW VALUE")</f>
        <v>LOW VALUE</v>
      </c>
      <c r="AP19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5" s="1"/>
      <c r="AR1905" s="1"/>
    </row>
    <row r="1906" spans="1:44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46</v>
      </c>
      <c r="X1906">
        <v>2380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90</v>
      </c>
      <c r="AJ1906">
        <v>89</v>
      </c>
      <c r="AK1906">
        <v>0</v>
      </c>
      <c r="AL1906">
        <f t="shared" si="29"/>
        <v>91</v>
      </c>
      <c r="AM1906">
        <f>IF(OR(Table1[[#This Row],[marital_Married]]=1,Table1[[#This Row],[marital_Together]]=1),1,0)</f>
        <v>1</v>
      </c>
      <c r="AN1906" t="str">
        <f>IF(Table1[[#This Row],[Income]]&gt;=70000,"HIGH INCOME","LOW INCOME")</f>
        <v>LOW INCOME</v>
      </c>
      <c r="AO1906" s="1" t="str">
        <f>IF(Table1[[#This Row],[MNT_TOTAL]]&gt;=900,"HIGH VALUE","LOW VALUE")</f>
        <v>LOW VALUE</v>
      </c>
      <c r="AP19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6" s="1"/>
      <c r="AR1906" s="1"/>
    </row>
    <row r="1907" spans="1:44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73</v>
      </c>
      <c r="X1907">
        <v>2433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345</v>
      </c>
      <c r="AJ1907">
        <v>276</v>
      </c>
      <c r="AK1907">
        <v>0</v>
      </c>
      <c r="AL1907">
        <f t="shared" si="29"/>
        <v>414</v>
      </c>
      <c r="AM1907">
        <f>IF(OR(Table1[[#This Row],[marital_Married]]=1,Table1[[#This Row],[marital_Together]]=1),1,0)</f>
        <v>1</v>
      </c>
      <c r="AN1907" t="str">
        <f>IF(Table1[[#This Row],[Income]]&gt;=70000,"HIGH INCOME","LOW INCOME")</f>
        <v>LOW INCOME</v>
      </c>
      <c r="AO1907" s="1" t="str">
        <f>IF(Table1[[#This Row],[MNT_TOTAL]]&gt;=900,"HIGH VALUE","LOW VALUE")</f>
        <v>LOW VALUE</v>
      </c>
      <c r="AP19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7" s="1"/>
      <c r="AR1907" s="1"/>
    </row>
    <row r="1908" spans="1:44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38</v>
      </c>
      <c r="X1908">
        <v>2332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36</v>
      </c>
      <c r="AJ1908">
        <v>28</v>
      </c>
      <c r="AK1908">
        <v>0</v>
      </c>
      <c r="AL1908">
        <f t="shared" si="29"/>
        <v>44</v>
      </c>
      <c r="AM1908">
        <f>IF(OR(Table1[[#This Row],[marital_Married]]=1,Table1[[#This Row],[marital_Together]]=1),1,0)</f>
        <v>1</v>
      </c>
      <c r="AN1908" t="str">
        <f>IF(Table1[[#This Row],[Income]]&gt;=70000,"HIGH INCOME","LOW INCOME")</f>
        <v>LOW INCOME</v>
      </c>
      <c r="AO1908" s="1" t="str">
        <f>IF(Table1[[#This Row],[MNT_TOTAL]]&gt;=900,"HIGH VALUE","LOW VALUE")</f>
        <v>LOW VALUE</v>
      </c>
      <c r="AP19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8" s="1"/>
      <c r="AR1908" s="1"/>
    </row>
    <row r="1909" spans="1:44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52</v>
      </c>
      <c r="X1909">
        <v>2248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45</v>
      </c>
      <c r="AJ1909">
        <v>27</v>
      </c>
      <c r="AK1909">
        <v>0</v>
      </c>
      <c r="AL1909">
        <f t="shared" si="29"/>
        <v>63</v>
      </c>
      <c r="AM1909">
        <f>IF(OR(Table1[[#This Row],[marital_Married]]=1,Table1[[#This Row],[marital_Together]]=1),1,0)</f>
        <v>1</v>
      </c>
      <c r="AN1909" t="str">
        <f>IF(Table1[[#This Row],[Income]]&gt;=70000,"HIGH INCOME","LOW INCOME")</f>
        <v>LOW INCOME</v>
      </c>
      <c r="AO1909" s="1" t="str">
        <f>IF(Table1[[#This Row],[MNT_TOTAL]]&gt;=900,"HIGH VALUE","LOW VALUE")</f>
        <v>LOW VALUE</v>
      </c>
      <c r="AP19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09" s="1"/>
      <c r="AR1909" s="1"/>
    </row>
    <row r="1910" spans="1:44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69</v>
      </c>
      <c r="X1910">
        <v>2606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801</v>
      </c>
      <c r="AJ1910">
        <v>701</v>
      </c>
      <c r="AK1910">
        <v>0</v>
      </c>
      <c r="AL1910">
        <f t="shared" si="29"/>
        <v>901</v>
      </c>
      <c r="AM1910">
        <f>IF(OR(Table1[[#This Row],[marital_Married]]=1,Table1[[#This Row],[marital_Together]]=1),1,0)</f>
        <v>1</v>
      </c>
      <c r="AN1910" t="str">
        <f>IF(Table1[[#This Row],[Income]]&gt;=70000,"HIGH INCOME","LOW INCOME")</f>
        <v>HIGH INCOME</v>
      </c>
      <c r="AO1910" s="1" t="str">
        <f>IF(Table1[[#This Row],[MNT_TOTAL]]&gt;=900,"HIGH VALUE","LOW VALUE")</f>
        <v>HIGH VALUE</v>
      </c>
      <c r="AP19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10" s="1"/>
      <c r="AR1910" s="1"/>
    </row>
    <row r="1911" spans="1:44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45</v>
      </c>
      <c r="X1911">
        <v>2820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35</v>
      </c>
      <c r="AJ1911">
        <v>32</v>
      </c>
      <c r="AK1911">
        <v>0</v>
      </c>
      <c r="AL1911">
        <f t="shared" si="29"/>
        <v>38</v>
      </c>
      <c r="AM1911">
        <f>IF(OR(Table1[[#This Row],[marital_Married]]=1,Table1[[#This Row],[marital_Together]]=1),1,0)</f>
        <v>1</v>
      </c>
      <c r="AN1911" t="str">
        <f>IF(Table1[[#This Row],[Income]]&gt;=70000,"HIGH INCOME","LOW INCOME")</f>
        <v>LOW INCOME</v>
      </c>
      <c r="AO1911" s="1" t="str">
        <f>IF(Table1[[#This Row],[MNT_TOTAL]]&gt;=900,"HIGH VALUE","LOW VALUE")</f>
        <v>LOW VALUE</v>
      </c>
      <c r="AP19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11" s="1"/>
      <c r="AR1911" s="1"/>
    </row>
    <row r="1912" spans="1:44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64</v>
      </c>
      <c r="X1912">
        <v>2635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447</v>
      </c>
      <c r="AJ1912">
        <v>439</v>
      </c>
      <c r="AK1912">
        <v>0</v>
      </c>
      <c r="AL1912">
        <f t="shared" si="29"/>
        <v>455</v>
      </c>
      <c r="AM1912">
        <f>IF(OR(Table1[[#This Row],[marital_Married]]=1,Table1[[#This Row],[marital_Together]]=1),1,0)</f>
        <v>0</v>
      </c>
      <c r="AN1912" t="str">
        <f>IF(Table1[[#This Row],[Income]]&gt;=70000,"HIGH INCOME","LOW INCOME")</f>
        <v>LOW INCOME</v>
      </c>
      <c r="AO1912" s="1" t="str">
        <f>IF(Table1[[#This Row],[MNT_TOTAL]]&gt;=900,"HIGH VALUE","LOW VALUE")</f>
        <v>LOW VALUE</v>
      </c>
      <c r="AP19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12" s="1"/>
      <c r="AR1912" s="1"/>
    </row>
    <row r="1913" spans="1:44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71</v>
      </c>
      <c r="X1913">
        <v>2746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775</v>
      </c>
      <c r="AJ1913">
        <v>775</v>
      </c>
      <c r="AK1913">
        <v>0</v>
      </c>
      <c r="AL1913">
        <f t="shared" si="29"/>
        <v>775</v>
      </c>
      <c r="AM1913">
        <f>IF(OR(Table1[[#This Row],[marital_Married]]=1,Table1[[#This Row],[marital_Together]]=1),1,0)</f>
        <v>0</v>
      </c>
      <c r="AN1913" t="str">
        <f>IF(Table1[[#This Row],[Income]]&gt;=70000,"HIGH INCOME","LOW INCOME")</f>
        <v>LOW INCOME</v>
      </c>
      <c r="AO1913" s="1" t="str">
        <f>IF(Table1[[#This Row],[MNT_TOTAL]]&gt;=900,"HIGH VALUE","LOW VALUE")</f>
        <v>LOW VALUE</v>
      </c>
      <c r="AP19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13" s="1"/>
      <c r="AR1913" s="1"/>
    </row>
    <row r="1914" spans="1:44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61</v>
      </c>
      <c r="X1914">
        <v>2257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14</v>
      </c>
      <c r="AJ1914">
        <v>13</v>
      </c>
      <c r="AK1914">
        <v>0</v>
      </c>
      <c r="AL1914">
        <f t="shared" si="29"/>
        <v>15</v>
      </c>
      <c r="AM1914">
        <f>IF(OR(Table1[[#This Row],[marital_Married]]=1,Table1[[#This Row],[marital_Together]]=1),1,0)</f>
        <v>1</v>
      </c>
      <c r="AN1914" t="str">
        <f>IF(Table1[[#This Row],[Income]]&gt;=70000,"HIGH INCOME","LOW INCOME")</f>
        <v>LOW INCOME</v>
      </c>
      <c r="AO1914" s="1" t="str">
        <f>IF(Table1[[#This Row],[MNT_TOTAL]]&gt;=900,"HIGH VALUE","LOW VALUE")</f>
        <v>LOW VALUE</v>
      </c>
      <c r="AP19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14" s="1"/>
      <c r="AR1914" s="1"/>
    </row>
    <row r="1915" spans="1:44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47</v>
      </c>
      <c r="X1915">
        <v>2461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34</v>
      </c>
      <c r="AJ1915">
        <v>30</v>
      </c>
      <c r="AK1915">
        <v>0</v>
      </c>
      <c r="AL1915">
        <f t="shared" si="29"/>
        <v>38</v>
      </c>
      <c r="AM1915">
        <f>IF(OR(Table1[[#This Row],[marital_Married]]=1,Table1[[#This Row],[marital_Together]]=1),1,0)</f>
        <v>1</v>
      </c>
      <c r="AN1915" t="str">
        <f>IF(Table1[[#This Row],[Income]]&gt;=70000,"HIGH INCOME","LOW INCOME")</f>
        <v>LOW INCOME</v>
      </c>
      <c r="AO1915" s="1" t="str">
        <f>IF(Table1[[#This Row],[MNT_TOTAL]]&gt;=900,"HIGH VALUE","LOW VALUE")</f>
        <v>LOW VALUE</v>
      </c>
      <c r="AP19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15" s="1"/>
      <c r="AR1915" s="1"/>
    </row>
    <row r="1916" spans="1:44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1</v>
      </c>
      <c r="W1916">
        <v>36</v>
      </c>
      <c r="X1916">
        <v>2302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1400</v>
      </c>
      <c r="AJ1916">
        <v>1288</v>
      </c>
      <c r="AK1916">
        <v>3</v>
      </c>
      <c r="AL1916">
        <f t="shared" si="29"/>
        <v>1512</v>
      </c>
      <c r="AM1916">
        <f>IF(OR(Table1[[#This Row],[marital_Married]]=1,Table1[[#This Row],[marital_Together]]=1),1,0)</f>
        <v>1</v>
      </c>
      <c r="AN1916" t="str">
        <f>IF(Table1[[#This Row],[Income]]&gt;=70000,"HIGH INCOME","LOW INCOME")</f>
        <v>HIGH INCOME</v>
      </c>
      <c r="AO1916" s="1" t="str">
        <f>IF(Table1[[#This Row],[MNT_TOTAL]]&gt;=900,"HIGH VALUE","LOW VALUE")</f>
        <v>HIGH VALUE</v>
      </c>
      <c r="AP19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16" s="1"/>
      <c r="AR1916" s="1"/>
    </row>
    <row r="1917" spans="1:44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70</v>
      </c>
      <c r="X1917">
        <v>2690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39</v>
      </c>
      <c r="AJ1917">
        <v>35</v>
      </c>
      <c r="AK1917">
        <v>0</v>
      </c>
      <c r="AL1917">
        <f t="shared" si="29"/>
        <v>43</v>
      </c>
      <c r="AM1917">
        <f>IF(OR(Table1[[#This Row],[marital_Married]]=1,Table1[[#This Row],[marital_Together]]=1),1,0)</f>
        <v>1</v>
      </c>
      <c r="AN1917" t="str">
        <f>IF(Table1[[#This Row],[Income]]&gt;=70000,"HIGH INCOME","LOW INCOME")</f>
        <v>LOW INCOME</v>
      </c>
      <c r="AO1917" s="1" t="str">
        <f>IF(Table1[[#This Row],[MNT_TOTAL]]&gt;=900,"HIGH VALUE","LOW VALUE")</f>
        <v>LOW VALUE</v>
      </c>
      <c r="AP19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17" s="1"/>
      <c r="AR1917" s="1"/>
    </row>
    <row r="1918" spans="1:44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43</v>
      </c>
      <c r="X1918">
        <v>2850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36</v>
      </c>
      <c r="AJ1918">
        <v>30</v>
      </c>
      <c r="AK1918">
        <v>0</v>
      </c>
      <c r="AL1918">
        <f t="shared" si="29"/>
        <v>42</v>
      </c>
      <c r="AM1918">
        <f>IF(OR(Table1[[#This Row],[marital_Married]]=1,Table1[[#This Row],[marital_Together]]=1),1,0)</f>
        <v>0</v>
      </c>
      <c r="AN1918" t="str">
        <f>IF(Table1[[#This Row],[Income]]&gt;=70000,"HIGH INCOME","LOW INCOME")</f>
        <v>LOW INCOME</v>
      </c>
      <c r="AO1918" s="1" t="str">
        <f>IF(Table1[[#This Row],[MNT_TOTAL]]&gt;=900,"HIGH VALUE","LOW VALUE")</f>
        <v>LOW VALUE</v>
      </c>
      <c r="AP19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18" s="1"/>
      <c r="AR1918" s="1"/>
    </row>
    <row r="1919" spans="1:44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36</v>
      </c>
      <c r="X1919">
        <v>2224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865</v>
      </c>
      <c r="AJ1919">
        <v>641</v>
      </c>
      <c r="AK1919">
        <v>0</v>
      </c>
      <c r="AL1919">
        <f t="shared" si="29"/>
        <v>1089</v>
      </c>
      <c r="AM1919">
        <f>IF(OR(Table1[[#This Row],[marital_Married]]=1,Table1[[#This Row],[marital_Together]]=1),1,0)</f>
        <v>1</v>
      </c>
      <c r="AN1919" t="str">
        <f>IF(Table1[[#This Row],[Income]]&gt;=70000,"HIGH INCOME","LOW INCOME")</f>
        <v>HIGH INCOME</v>
      </c>
      <c r="AO1919" s="1" t="str">
        <f>IF(Table1[[#This Row],[MNT_TOTAL]]&gt;=900,"HIGH VALUE","LOW VALUE")</f>
        <v>HIGH VALUE</v>
      </c>
      <c r="AP19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19" s="1"/>
      <c r="AR1919" s="1"/>
    </row>
    <row r="1920" spans="1:44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44</v>
      </c>
      <c r="X1920">
        <v>2812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121</v>
      </c>
      <c r="AJ1920">
        <v>80</v>
      </c>
      <c r="AK1920">
        <v>0</v>
      </c>
      <c r="AL1920">
        <f t="shared" si="29"/>
        <v>162</v>
      </c>
      <c r="AM1920">
        <f>IF(OR(Table1[[#This Row],[marital_Married]]=1,Table1[[#This Row],[marital_Together]]=1),1,0)</f>
        <v>1</v>
      </c>
      <c r="AN1920" t="str">
        <f>IF(Table1[[#This Row],[Income]]&gt;=70000,"HIGH INCOME","LOW INCOME")</f>
        <v>LOW INCOME</v>
      </c>
      <c r="AO1920" s="1" t="str">
        <f>IF(Table1[[#This Row],[MNT_TOTAL]]&gt;=900,"HIGH VALUE","LOW VALUE")</f>
        <v>LOW VALUE</v>
      </c>
      <c r="AP19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20" s="1"/>
      <c r="AR1920" s="1"/>
    </row>
    <row r="1921" spans="1:44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69</v>
      </c>
      <c r="X1921">
        <v>2667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1158</v>
      </c>
      <c r="AJ1921">
        <v>1044</v>
      </c>
      <c r="AK1921">
        <v>0</v>
      </c>
      <c r="AL1921">
        <f t="shared" si="29"/>
        <v>1272</v>
      </c>
      <c r="AM1921">
        <f>IF(OR(Table1[[#This Row],[marital_Married]]=1,Table1[[#This Row],[marital_Together]]=1),1,0)</f>
        <v>0</v>
      </c>
      <c r="AN1921" t="str">
        <f>IF(Table1[[#This Row],[Income]]&gt;=70000,"HIGH INCOME","LOW INCOME")</f>
        <v>HIGH INCOME</v>
      </c>
      <c r="AO1921" s="1" t="str">
        <f>IF(Table1[[#This Row],[MNT_TOTAL]]&gt;=900,"HIGH VALUE","LOW VALUE")</f>
        <v>HIGH VALUE</v>
      </c>
      <c r="AP19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21" s="1"/>
      <c r="AR1921" s="1"/>
    </row>
    <row r="1922" spans="1:44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38</v>
      </c>
      <c r="X1922">
        <v>2763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1028</v>
      </c>
      <c r="AJ1922">
        <v>883</v>
      </c>
      <c r="AK1922">
        <v>0</v>
      </c>
      <c r="AL1922">
        <f t="shared" ref="AL1922:AL1985" si="30">SUM(E1922:J1922)</f>
        <v>1173</v>
      </c>
      <c r="AM1922">
        <f>IF(OR(Table1[[#This Row],[marital_Married]]=1,Table1[[#This Row],[marital_Together]]=1),1,0)</f>
        <v>1</v>
      </c>
      <c r="AN1922" t="str">
        <f>IF(Table1[[#This Row],[Income]]&gt;=70000,"HIGH INCOME","LOW INCOME")</f>
        <v>LOW INCOME</v>
      </c>
      <c r="AO1922" s="1" t="str">
        <f>IF(Table1[[#This Row],[MNT_TOTAL]]&gt;=900,"HIGH VALUE","LOW VALUE")</f>
        <v>HIGH VALUE</v>
      </c>
      <c r="AP19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22" s="1"/>
      <c r="AR1922" s="1"/>
    </row>
    <row r="1923" spans="1:44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46</v>
      </c>
      <c r="X1923">
        <v>2168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801</v>
      </c>
      <c r="AJ1923">
        <v>786</v>
      </c>
      <c r="AK1923">
        <v>0</v>
      </c>
      <c r="AL1923">
        <f t="shared" si="30"/>
        <v>816</v>
      </c>
      <c r="AM1923">
        <f>IF(OR(Table1[[#This Row],[marital_Married]]=1,Table1[[#This Row],[marital_Together]]=1),1,0)</f>
        <v>1</v>
      </c>
      <c r="AN1923" t="str">
        <f>IF(Table1[[#This Row],[Income]]&gt;=70000,"HIGH INCOME","LOW INCOME")</f>
        <v>HIGH INCOME</v>
      </c>
      <c r="AO1923" s="1" t="str">
        <f>IF(Table1[[#This Row],[MNT_TOTAL]]&gt;=900,"HIGH VALUE","LOW VALUE")</f>
        <v>LOW VALUE</v>
      </c>
      <c r="AP19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23" s="1"/>
      <c r="AR1923" s="1"/>
    </row>
    <row r="1924" spans="1:44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52</v>
      </c>
      <c r="X1924">
        <v>2614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71</v>
      </c>
      <c r="AJ1924">
        <v>68</v>
      </c>
      <c r="AK1924">
        <v>0</v>
      </c>
      <c r="AL1924">
        <f t="shared" si="30"/>
        <v>74</v>
      </c>
      <c r="AM1924">
        <f>IF(OR(Table1[[#This Row],[marital_Married]]=1,Table1[[#This Row],[marital_Together]]=1),1,0)</f>
        <v>0</v>
      </c>
      <c r="AN1924" t="str">
        <f>IF(Table1[[#This Row],[Income]]&gt;=70000,"HIGH INCOME","LOW INCOME")</f>
        <v>LOW INCOME</v>
      </c>
      <c r="AO1924" s="1" t="str">
        <f>IF(Table1[[#This Row],[MNT_TOTAL]]&gt;=900,"HIGH VALUE","LOW VALUE")</f>
        <v>LOW VALUE</v>
      </c>
      <c r="AP19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24" s="1"/>
      <c r="AR1924" s="1"/>
    </row>
    <row r="1925" spans="1:44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66</v>
      </c>
      <c r="X1925">
        <v>2661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122</v>
      </c>
      <c r="AJ1925">
        <v>110</v>
      </c>
      <c r="AK1925">
        <v>0</v>
      </c>
      <c r="AL1925">
        <f t="shared" si="30"/>
        <v>134</v>
      </c>
      <c r="AM1925">
        <f>IF(OR(Table1[[#This Row],[marital_Married]]=1,Table1[[#This Row],[marital_Together]]=1),1,0)</f>
        <v>1</v>
      </c>
      <c r="AN1925" t="str">
        <f>IF(Table1[[#This Row],[Income]]&gt;=70000,"HIGH INCOME","LOW INCOME")</f>
        <v>LOW INCOME</v>
      </c>
      <c r="AO1925" s="1" t="str">
        <f>IF(Table1[[#This Row],[MNT_TOTAL]]&gt;=900,"HIGH VALUE","LOW VALUE")</f>
        <v>LOW VALUE</v>
      </c>
      <c r="AP19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25" s="1"/>
      <c r="AR1925" s="1"/>
    </row>
    <row r="1926" spans="1:44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80</v>
      </c>
      <c r="X1926">
        <v>2515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  <c r="AI1926">
        <v>151</v>
      </c>
      <c r="AJ1926">
        <v>145</v>
      </c>
      <c r="AK1926">
        <v>0</v>
      </c>
      <c r="AL1926">
        <f t="shared" si="30"/>
        <v>157</v>
      </c>
      <c r="AM1926">
        <f>IF(OR(Table1[[#This Row],[marital_Married]]=1,Table1[[#This Row],[marital_Together]]=1),1,0)</f>
        <v>0</v>
      </c>
      <c r="AN1926" t="str">
        <f>IF(Table1[[#This Row],[Income]]&gt;=70000,"HIGH INCOME","LOW INCOME")</f>
        <v>LOW INCOME</v>
      </c>
      <c r="AO1926" s="1" t="str">
        <f>IF(Table1[[#This Row],[MNT_TOTAL]]&gt;=900,"HIGH VALUE","LOW VALUE")</f>
        <v>LOW VALUE</v>
      </c>
      <c r="AP19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26" s="1"/>
      <c r="AR1926" s="1"/>
    </row>
    <row r="1927" spans="1:44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44</v>
      </c>
      <c r="X1927">
        <v>2443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512</v>
      </c>
      <c r="AJ1927">
        <v>463</v>
      </c>
      <c r="AK1927">
        <v>0</v>
      </c>
      <c r="AL1927">
        <f t="shared" si="30"/>
        <v>561</v>
      </c>
      <c r="AM1927">
        <f>IF(OR(Table1[[#This Row],[marital_Married]]=1,Table1[[#This Row],[marital_Together]]=1),1,0)</f>
        <v>1</v>
      </c>
      <c r="AN1927" t="str">
        <f>IF(Table1[[#This Row],[Income]]&gt;=70000,"HIGH INCOME","LOW INCOME")</f>
        <v>LOW INCOME</v>
      </c>
      <c r="AO1927" s="1" t="str">
        <f>IF(Table1[[#This Row],[MNT_TOTAL]]&gt;=900,"HIGH VALUE","LOW VALUE")</f>
        <v>LOW VALUE</v>
      </c>
      <c r="AP19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27" s="1"/>
      <c r="AR1927" s="1"/>
    </row>
    <row r="1928" spans="1:44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69</v>
      </c>
      <c r="X1928">
        <v>2207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1228</v>
      </c>
      <c r="AJ1928">
        <v>1120</v>
      </c>
      <c r="AK1928">
        <v>0</v>
      </c>
      <c r="AL1928">
        <f t="shared" si="30"/>
        <v>1336</v>
      </c>
      <c r="AM1928">
        <f>IF(OR(Table1[[#This Row],[marital_Married]]=1,Table1[[#This Row],[marital_Together]]=1),1,0)</f>
        <v>0</v>
      </c>
      <c r="AN1928" t="str">
        <f>IF(Table1[[#This Row],[Income]]&gt;=70000,"HIGH INCOME","LOW INCOME")</f>
        <v>HIGH INCOME</v>
      </c>
      <c r="AO1928" s="1" t="str">
        <f>IF(Table1[[#This Row],[MNT_TOTAL]]&gt;=900,"HIGH VALUE","LOW VALUE")</f>
        <v>HIGH VALUE</v>
      </c>
      <c r="AP19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28" s="1"/>
      <c r="AR1928" s="1"/>
    </row>
    <row r="1929" spans="1:44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44</v>
      </c>
      <c r="X1929">
        <v>2844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2092</v>
      </c>
      <c r="AJ1929">
        <v>2092</v>
      </c>
      <c r="AK1929">
        <v>0</v>
      </c>
      <c r="AL1929">
        <f t="shared" si="30"/>
        <v>2092</v>
      </c>
      <c r="AM1929">
        <f>IF(OR(Table1[[#This Row],[marital_Married]]=1,Table1[[#This Row],[marital_Together]]=1),1,0)</f>
        <v>1</v>
      </c>
      <c r="AN1929" t="str">
        <f>IF(Table1[[#This Row],[Income]]&gt;=70000,"HIGH INCOME","LOW INCOME")</f>
        <v>HIGH INCOME</v>
      </c>
      <c r="AO1929" s="1" t="str">
        <f>IF(Table1[[#This Row],[MNT_TOTAL]]&gt;=900,"HIGH VALUE","LOW VALUE")</f>
        <v>HIGH VALUE</v>
      </c>
      <c r="AP19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29" s="1"/>
      <c r="AR1929" s="1"/>
    </row>
    <row r="1930" spans="1:44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56</v>
      </c>
      <c r="X1930">
        <v>2377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450</v>
      </c>
      <c r="AJ1930">
        <v>437</v>
      </c>
      <c r="AK1930">
        <v>0</v>
      </c>
      <c r="AL1930">
        <f t="shared" si="30"/>
        <v>463</v>
      </c>
      <c r="AM1930">
        <f>IF(OR(Table1[[#This Row],[marital_Married]]=1,Table1[[#This Row],[marital_Together]]=1),1,0)</f>
        <v>0</v>
      </c>
      <c r="AN1930" t="str">
        <f>IF(Table1[[#This Row],[Income]]&gt;=70000,"HIGH INCOME","LOW INCOME")</f>
        <v>LOW INCOME</v>
      </c>
      <c r="AO1930" s="1" t="str">
        <f>IF(Table1[[#This Row],[MNT_TOTAL]]&gt;=900,"HIGH VALUE","LOW VALUE")</f>
        <v>LOW VALUE</v>
      </c>
      <c r="AP19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30" s="1"/>
      <c r="AR1930" s="1"/>
    </row>
    <row r="1931" spans="1:44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70</v>
      </c>
      <c r="X1931">
        <v>2216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1098</v>
      </c>
      <c r="AJ1931">
        <v>1066</v>
      </c>
      <c r="AK1931">
        <v>0</v>
      </c>
      <c r="AL1931">
        <f t="shared" si="30"/>
        <v>1130</v>
      </c>
      <c r="AM1931">
        <f>IF(OR(Table1[[#This Row],[marital_Married]]=1,Table1[[#This Row],[marital_Together]]=1),1,0)</f>
        <v>0</v>
      </c>
      <c r="AN1931" t="str">
        <f>IF(Table1[[#This Row],[Income]]&gt;=70000,"HIGH INCOME","LOW INCOME")</f>
        <v>HIGH INCOME</v>
      </c>
      <c r="AO1931" s="1" t="str">
        <f>IF(Table1[[#This Row],[MNT_TOTAL]]&gt;=900,"HIGH VALUE","LOW VALUE")</f>
        <v>HIGH VALUE</v>
      </c>
      <c r="AP19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31" s="1"/>
      <c r="AR1931" s="1"/>
    </row>
    <row r="1932" spans="1:44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44</v>
      </c>
      <c r="X1932">
        <v>2322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19</v>
      </c>
      <c r="AJ1932">
        <v>18</v>
      </c>
      <c r="AK1932">
        <v>0</v>
      </c>
      <c r="AL1932">
        <f t="shared" si="30"/>
        <v>20</v>
      </c>
      <c r="AM1932">
        <f>IF(OR(Table1[[#This Row],[marital_Married]]=1,Table1[[#This Row],[marital_Together]]=1),1,0)</f>
        <v>1</v>
      </c>
      <c r="AN1932" t="str">
        <f>IF(Table1[[#This Row],[Income]]&gt;=70000,"HIGH INCOME","LOW INCOME")</f>
        <v>LOW INCOME</v>
      </c>
      <c r="AO1932" s="1" t="str">
        <f>IF(Table1[[#This Row],[MNT_TOTAL]]&gt;=900,"HIGH VALUE","LOW VALUE")</f>
        <v>LOW VALUE</v>
      </c>
      <c r="AP19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32" s="1"/>
      <c r="AR1932" s="1"/>
    </row>
    <row r="1933" spans="1:44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64</v>
      </c>
      <c r="X1933">
        <v>2774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350</v>
      </c>
      <c r="AJ1933">
        <v>323</v>
      </c>
      <c r="AK1933">
        <v>1</v>
      </c>
      <c r="AL1933">
        <f t="shared" si="30"/>
        <v>377</v>
      </c>
      <c r="AM1933">
        <f>IF(OR(Table1[[#This Row],[marital_Married]]=1,Table1[[#This Row],[marital_Together]]=1),1,0)</f>
        <v>0</v>
      </c>
      <c r="AN1933" t="str">
        <f>IF(Table1[[#This Row],[Income]]&gt;=70000,"HIGH INCOME","LOW INCOME")</f>
        <v>LOW INCOME</v>
      </c>
      <c r="AO1933" s="1" t="str">
        <f>IF(Table1[[#This Row],[MNT_TOTAL]]&gt;=900,"HIGH VALUE","LOW VALUE")</f>
        <v>LOW VALUE</v>
      </c>
      <c r="AP19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33" s="1"/>
      <c r="AR1933" s="1"/>
    </row>
    <row r="1934" spans="1:44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</v>
      </c>
      <c r="W1934">
        <v>30</v>
      </c>
      <c r="X1934">
        <v>2591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1527</v>
      </c>
      <c r="AJ1934">
        <v>1510</v>
      </c>
      <c r="AK1934">
        <v>1</v>
      </c>
      <c r="AL1934">
        <f t="shared" si="30"/>
        <v>1544</v>
      </c>
      <c r="AM1934">
        <f>IF(OR(Table1[[#This Row],[marital_Married]]=1,Table1[[#This Row],[marital_Together]]=1),1,0)</f>
        <v>0</v>
      </c>
      <c r="AN1934" t="str">
        <f>IF(Table1[[#This Row],[Income]]&gt;=70000,"HIGH INCOME","LOW INCOME")</f>
        <v>HIGH INCOME</v>
      </c>
      <c r="AO1934" s="1" t="str">
        <f>IF(Table1[[#This Row],[MNT_TOTAL]]&gt;=900,"HIGH VALUE","LOW VALUE")</f>
        <v>HIGH VALUE</v>
      </c>
      <c r="AP19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34" s="1"/>
      <c r="AR1934" s="1"/>
    </row>
    <row r="1935" spans="1:44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70</v>
      </c>
      <c r="X1935">
        <v>2212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122</v>
      </c>
      <c r="AJ1935">
        <v>106</v>
      </c>
      <c r="AK1935">
        <v>0</v>
      </c>
      <c r="AL1935">
        <f t="shared" si="30"/>
        <v>138</v>
      </c>
      <c r="AM1935">
        <f>IF(OR(Table1[[#This Row],[marital_Married]]=1,Table1[[#This Row],[marital_Together]]=1),1,0)</f>
        <v>0</v>
      </c>
      <c r="AN1935" t="str">
        <f>IF(Table1[[#This Row],[Income]]&gt;=70000,"HIGH INCOME","LOW INCOME")</f>
        <v>LOW INCOME</v>
      </c>
      <c r="AO1935" s="1" t="str">
        <f>IF(Table1[[#This Row],[MNT_TOTAL]]&gt;=900,"HIGH VALUE","LOW VALUE")</f>
        <v>LOW VALUE</v>
      </c>
      <c r="AP19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35" s="1"/>
      <c r="AR1935" s="1"/>
    </row>
    <row r="1936" spans="1:44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55</v>
      </c>
      <c r="X1936">
        <v>2520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923</v>
      </c>
      <c r="AJ1936">
        <v>834</v>
      </c>
      <c r="AK1936">
        <v>0</v>
      </c>
      <c r="AL1936">
        <f t="shared" si="30"/>
        <v>1012</v>
      </c>
      <c r="AM1936">
        <f>IF(OR(Table1[[#This Row],[marital_Married]]=1,Table1[[#This Row],[marital_Together]]=1),1,0)</f>
        <v>1</v>
      </c>
      <c r="AN1936" t="str">
        <f>IF(Table1[[#This Row],[Income]]&gt;=70000,"HIGH INCOME","LOW INCOME")</f>
        <v>HIGH INCOME</v>
      </c>
      <c r="AO1936" s="1" t="str">
        <f>IF(Table1[[#This Row],[MNT_TOTAL]]&gt;=900,"HIGH VALUE","LOW VALUE")</f>
        <v>HIGH VALUE</v>
      </c>
      <c r="AP19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36" s="1"/>
      <c r="AR1936" s="1"/>
    </row>
    <row r="1937" spans="1:44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1</v>
      </c>
      <c r="W1937">
        <v>58</v>
      </c>
      <c r="X1937">
        <v>2514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1606</v>
      </c>
      <c r="AJ1937">
        <v>1446</v>
      </c>
      <c r="AK1937">
        <v>3</v>
      </c>
      <c r="AL1937">
        <f t="shared" si="30"/>
        <v>1766</v>
      </c>
      <c r="AM1937">
        <f>IF(OR(Table1[[#This Row],[marital_Married]]=1,Table1[[#This Row],[marital_Together]]=1),1,0)</f>
        <v>0</v>
      </c>
      <c r="AN1937" t="str">
        <f>IF(Table1[[#This Row],[Income]]&gt;=70000,"HIGH INCOME","LOW INCOME")</f>
        <v>HIGH INCOME</v>
      </c>
      <c r="AO1937" s="1" t="str">
        <f>IF(Table1[[#This Row],[MNT_TOTAL]]&gt;=900,"HIGH VALUE","LOW VALUE")</f>
        <v>HIGH VALUE</v>
      </c>
      <c r="AP19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37" s="1"/>
      <c r="AR1937" s="1"/>
    </row>
    <row r="1938" spans="1:44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42</v>
      </c>
      <c r="X1938">
        <v>2171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44</v>
      </c>
      <c r="AJ1938">
        <v>43</v>
      </c>
      <c r="AK1938">
        <v>0</v>
      </c>
      <c r="AL1938">
        <f t="shared" si="30"/>
        <v>45</v>
      </c>
      <c r="AM1938">
        <f>IF(OR(Table1[[#This Row],[marital_Married]]=1,Table1[[#This Row],[marital_Together]]=1),1,0)</f>
        <v>1</v>
      </c>
      <c r="AN1938" t="str">
        <f>IF(Table1[[#This Row],[Income]]&gt;=70000,"HIGH INCOME","LOW INCOME")</f>
        <v>LOW INCOME</v>
      </c>
      <c r="AO1938" s="1" t="str">
        <f>IF(Table1[[#This Row],[MNT_TOTAL]]&gt;=900,"HIGH VALUE","LOW VALUE")</f>
        <v>LOW VALUE</v>
      </c>
      <c r="AP19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38" s="1"/>
      <c r="AR1938" s="1"/>
    </row>
    <row r="1939" spans="1:44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68</v>
      </c>
      <c r="X1939">
        <v>2578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118</v>
      </c>
      <c r="AJ1939">
        <v>75</v>
      </c>
      <c r="AK1939">
        <v>0</v>
      </c>
      <c r="AL1939">
        <f t="shared" si="30"/>
        <v>161</v>
      </c>
      <c r="AM1939">
        <f>IF(OR(Table1[[#This Row],[marital_Married]]=1,Table1[[#This Row],[marital_Together]]=1),1,0)</f>
        <v>0</v>
      </c>
      <c r="AN1939" t="str">
        <f>IF(Table1[[#This Row],[Income]]&gt;=70000,"HIGH INCOME","LOW INCOME")</f>
        <v>LOW INCOME</v>
      </c>
      <c r="AO1939" s="1" t="str">
        <f>IF(Table1[[#This Row],[MNT_TOTAL]]&gt;=900,"HIGH VALUE","LOW VALUE")</f>
        <v>LOW VALUE</v>
      </c>
      <c r="AP19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39" s="1"/>
      <c r="AR1939" s="1"/>
    </row>
    <row r="1940" spans="1:44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2334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120</v>
      </c>
      <c r="AJ1940">
        <v>96</v>
      </c>
      <c r="AK1940">
        <v>0</v>
      </c>
      <c r="AL1940">
        <f t="shared" si="30"/>
        <v>144</v>
      </c>
      <c r="AM1940">
        <f>IF(OR(Table1[[#This Row],[marital_Married]]=1,Table1[[#This Row],[marital_Together]]=1),1,0)</f>
        <v>0</v>
      </c>
      <c r="AN1940" t="str">
        <f>IF(Table1[[#This Row],[Income]]&gt;=70000,"HIGH INCOME","LOW INCOME")</f>
        <v>LOW INCOME</v>
      </c>
      <c r="AO1940" s="1" t="str">
        <f>IF(Table1[[#This Row],[MNT_TOTAL]]&gt;=900,"HIGH VALUE","LOW VALUE")</f>
        <v>LOW VALUE</v>
      </c>
      <c r="AP19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40" s="1"/>
      <c r="AR1940" s="1"/>
    </row>
    <row r="1941" spans="1:44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73</v>
      </c>
      <c r="X1941">
        <v>2468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1685</v>
      </c>
      <c r="AJ1941">
        <v>1636</v>
      </c>
      <c r="AK1941">
        <v>0</v>
      </c>
      <c r="AL1941">
        <f t="shared" si="30"/>
        <v>1734</v>
      </c>
      <c r="AM1941">
        <f>IF(OR(Table1[[#This Row],[marital_Married]]=1,Table1[[#This Row],[marital_Together]]=1),1,0)</f>
        <v>1</v>
      </c>
      <c r="AN1941" t="str">
        <f>IF(Table1[[#This Row],[Income]]&gt;=70000,"HIGH INCOME","LOW INCOME")</f>
        <v>HIGH INCOME</v>
      </c>
      <c r="AO1941" s="1" t="str">
        <f>IF(Table1[[#This Row],[MNT_TOTAL]]&gt;=900,"HIGH VALUE","LOW VALUE")</f>
        <v>HIGH VALUE</v>
      </c>
      <c r="AP19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41" s="1"/>
      <c r="AR1941" s="1"/>
    </row>
    <row r="1942" spans="1:44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48</v>
      </c>
      <c r="X1942">
        <v>2409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730</v>
      </c>
      <c r="AJ1942">
        <v>637</v>
      </c>
      <c r="AK1942">
        <v>0</v>
      </c>
      <c r="AL1942">
        <f t="shared" si="30"/>
        <v>823</v>
      </c>
      <c r="AM1942">
        <f>IF(OR(Table1[[#This Row],[marital_Married]]=1,Table1[[#This Row],[marital_Together]]=1),1,0)</f>
        <v>1</v>
      </c>
      <c r="AN1942" t="str">
        <f>IF(Table1[[#This Row],[Income]]&gt;=70000,"HIGH INCOME","LOW INCOME")</f>
        <v>LOW INCOME</v>
      </c>
      <c r="AO1942" s="1" t="str">
        <f>IF(Table1[[#This Row],[MNT_TOTAL]]&gt;=900,"HIGH VALUE","LOW VALUE")</f>
        <v>LOW VALUE</v>
      </c>
      <c r="AP19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42" s="1"/>
      <c r="AR1942" s="1"/>
    </row>
    <row r="1943" spans="1:44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57</v>
      </c>
      <c r="X1943">
        <v>2280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1117</v>
      </c>
      <c r="AJ1943">
        <v>1096</v>
      </c>
      <c r="AK1943">
        <v>0</v>
      </c>
      <c r="AL1943">
        <f t="shared" si="30"/>
        <v>1138</v>
      </c>
      <c r="AM1943">
        <f>IF(OR(Table1[[#This Row],[marital_Married]]=1,Table1[[#This Row],[marital_Together]]=1),1,0)</f>
        <v>1</v>
      </c>
      <c r="AN1943" t="str">
        <f>IF(Table1[[#This Row],[Income]]&gt;=70000,"HIGH INCOME","LOW INCOME")</f>
        <v>HIGH INCOME</v>
      </c>
      <c r="AO1943" s="1" t="str">
        <f>IF(Table1[[#This Row],[MNT_TOTAL]]&gt;=900,"HIGH VALUE","LOW VALUE")</f>
        <v>HIGH VALUE</v>
      </c>
      <c r="AP19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43" s="1"/>
      <c r="AR1943" s="1"/>
    </row>
    <row r="1944" spans="1:44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71</v>
      </c>
      <c r="X1944">
        <v>2646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1376</v>
      </c>
      <c r="AJ1944">
        <v>1323</v>
      </c>
      <c r="AK1944">
        <v>1</v>
      </c>
      <c r="AL1944">
        <f t="shared" si="30"/>
        <v>1429</v>
      </c>
      <c r="AM1944">
        <f>IF(OR(Table1[[#This Row],[marital_Married]]=1,Table1[[#This Row],[marital_Together]]=1),1,0)</f>
        <v>0</v>
      </c>
      <c r="AN1944" t="str">
        <f>IF(Table1[[#This Row],[Income]]&gt;=70000,"HIGH INCOME","LOW INCOME")</f>
        <v>HIGH INCOME</v>
      </c>
      <c r="AO1944" s="1" t="str">
        <f>IF(Table1[[#This Row],[MNT_TOTAL]]&gt;=900,"HIGH VALUE","LOW VALUE")</f>
        <v>HIGH VALUE</v>
      </c>
      <c r="AP19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44" s="1"/>
      <c r="AR1944" s="1"/>
    </row>
    <row r="1945" spans="1:44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42</v>
      </c>
      <c r="X1945">
        <v>2316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1358</v>
      </c>
      <c r="AJ1945">
        <v>1345</v>
      </c>
      <c r="AK1945">
        <v>2</v>
      </c>
      <c r="AL1945">
        <f t="shared" si="30"/>
        <v>1371</v>
      </c>
      <c r="AM1945">
        <f>IF(OR(Table1[[#This Row],[marital_Married]]=1,Table1[[#This Row],[marital_Together]]=1),1,0)</f>
        <v>1</v>
      </c>
      <c r="AN1945" t="str">
        <f>IF(Table1[[#This Row],[Income]]&gt;=70000,"HIGH INCOME","LOW INCOME")</f>
        <v>HIGH INCOME</v>
      </c>
      <c r="AO1945" s="1" t="str">
        <f>IF(Table1[[#This Row],[MNT_TOTAL]]&gt;=900,"HIGH VALUE","LOW VALUE")</f>
        <v>HIGH VALUE</v>
      </c>
      <c r="AP19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45" s="1"/>
      <c r="AR1945" s="1"/>
    </row>
    <row r="1946" spans="1:44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2659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956</v>
      </c>
      <c r="AJ1946">
        <v>930</v>
      </c>
      <c r="AK1946">
        <v>1</v>
      </c>
      <c r="AL1946">
        <f t="shared" si="30"/>
        <v>982</v>
      </c>
      <c r="AM1946">
        <f>IF(OR(Table1[[#This Row],[marital_Married]]=1,Table1[[#This Row],[marital_Together]]=1),1,0)</f>
        <v>0</v>
      </c>
      <c r="AN1946" t="str">
        <f>IF(Table1[[#This Row],[Income]]&gt;=70000,"HIGH INCOME","LOW INCOME")</f>
        <v>LOW INCOME</v>
      </c>
      <c r="AO1946" s="1" t="str">
        <f>IF(Table1[[#This Row],[MNT_TOTAL]]&gt;=900,"HIGH VALUE","LOW VALUE")</f>
        <v>HIGH VALUE</v>
      </c>
      <c r="AP19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46" s="1"/>
      <c r="AR1946" s="1"/>
    </row>
    <row r="1947" spans="1:44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37</v>
      </c>
      <c r="X1947">
        <v>2255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32</v>
      </c>
      <c r="AJ1947">
        <v>20</v>
      </c>
      <c r="AK1947">
        <v>1</v>
      </c>
      <c r="AL1947">
        <f t="shared" si="30"/>
        <v>44</v>
      </c>
      <c r="AM1947">
        <f>IF(OR(Table1[[#This Row],[marital_Married]]=1,Table1[[#This Row],[marital_Together]]=1),1,0)</f>
        <v>0</v>
      </c>
      <c r="AN1947" t="str">
        <f>IF(Table1[[#This Row],[Income]]&gt;=70000,"HIGH INCOME","LOW INCOME")</f>
        <v>LOW INCOME</v>
      </c>
      <c r="AO1947" s="1" t="str">
        <f>IF(Table1[[#This Row],[MNT_TOTAL]]&gt;=900,"HIGH VALUE","LOW VALUE")</f>
        <v>LOW VALUE</v>
      </c>
      <c r="AP19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47" s="1"/>
      <c r="AR1947" s="1"/>
    </row>
    <row r="1948" spans="1:44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49</v>
      </c>
      <c r="X1948">
        <v>2703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303</v>
      </c>
      <c r="AJ1948">
        <v>288</v>
      </c>
      <c r="AK1948">
        <v>0</v>
      </c>
      <c r="AL1948">
        <f t="shared" si="30"/>
        <v>318</v>
      </c>
      <c r="AM1948">
        <f>IF(OR(Table1[[#This Row],[marital_Married]]=1,Table1[[#This Row],[marital_Together]]=1),1,0)</f>
        <v>1</v>
      </c>
      <c r="AN1948" t="str">
        <f>IF(Table1[[#This Row],[Income]]&gt;=70000,"HIGH INCOME","LOW INCOME")</f>
        <v>LOW INCOME</v>
      </c>
      <c r="AO1948" s="1" t="str">
        <f>IF(Table1[[#This Row],[MNT_TOTAL]]&gt;=900,"HIGH VALUE","LOW VALUE")</f>
        <v>LOW VALUE</v>
      </c>
      <c r="AP19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48" s="1"/>
      <c r="AR1948" s="1"/>
    </row>
    <row r="1949" spans="1:44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45</v>
      </c>
      <c r="X1949">
        <v>2607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384</v>
      </c>
      <c r="AJ1949">
        <v>334</v>
      </c>
      <c r="AK1949">
        <v>0</v>
      </c>
      <c r="AL1949">
        <f t="shared" si="30"/>
        <v>434</v>
      </c>
      <c r="AM1949">
        <f>IF(OR(Table1[[#This Row],[marital_Married]]=1,Table1[[#This Row],[marital_Together]]=1),1,0)</f>
        <v>1</v>
      </c>
      <c r="AN1949" t="str">
        <f>IF(Table1[[#This Row],[Income]]&gt;=70000,"HIGH INCOME","LOW INCOME")</f>
        <v>LOW INCOME</v>
      </c>
      <c r="AO1949" s="1" t="str">
        <f>IF(Table1[[#This Row],[MNT_TOTAL]]&gt;=900,"HIGH VALUE","LOW VALUE")</f>
        <v>LOW VALUE</v>
      </c>
      <c r="AP19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49" s="1"/>
      <c r="AR1949" s="1"/>
    </row>
    <row r="1950" spans="1:44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49</v>
      </c>
      <c r="X1950">
        <v>2393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180</v>
      </c>
      <c r="AJ1950">
        <v>162</v>
      </c>
      <c r="AK1950">
        <v>0</v>
      </c>
      <c r="AL1950">
        <f t="shared" si="30"/>
        <v>198</v>
      </c>
      <c r="AM1950">
        <f>IF(OR(Table1[[#This Row],[marital_Married]]=1,Table1[[#This Row],[marital_Together]]=1),1,0)</f>
        <v>1</v>
      </c>
      <c r="AN1950" t="str">
        <f>IF(Table1[[#This Row],[Income]]&gt;=70000,"HIGH INCOME","LOW INCOME")</f>
        <v>LOW INCOME</v>
      </c>
      <c r="AO1950" s="1" t="str">
        <f>IF(Table1[[#This Row],[MNT_TOTAL]]&gt;=900,"HIGH VALUE","LOW VALUE")</f>
        <v>LOW VALUE</v>
      </c>
      <c r="AP19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0" s="1"/>
      <c r="AR1950" s="1"/>
    </row>
    <row r="1951" spans="1:44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51</v>
      </c>
      <c r="X1951">
        <v>2426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38</v>
      </c>
      <c r="AJ1951">
        <v>-283</v>
      </c>
      <c r="AK1951">
        <v>0</v>
      </c>
      <c r="AL1951">
        <f t="shared" si="30"/>
        <v>359</v>
      </c>
      <c r="AM1951">
        <f>IF(OR(Table1[[#This Row],[marital_Married]]=1,Table1[[#This Row],[marital_Together]]=1),1,0)</f>
        <v>1</v>
      </c>
      <c r="AN1951" t="str">
        <f>IF(Table1[[#This Row],[Income]]&gt;=70000,"HIGH INCOME","LOW INCOME")</f>
        <v>LOW INCOME</v>
      </c>
      <c r="AO1951" s="1" t="str">
        <f>IF(Table1[[#This Row],[MNT_TOTAL]]&gt;=900,"HIGH VALUE","LOW VALUE")</f>
        <v>LOW VALUE</v>
      </c>
      <c r="AP19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1" s="1"/>
      <c r="AR1951" s="1"/>
    </row>
    <row r="1952" spans="1:44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57</v>
      </c>
      <c r="X1952">
        <v>2855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523</v>
      </c>
      <c r="AJ1952">
        <v>470</v>
      </c>
      <c r="AK1952">
        <v>0</v>
      </c>
      <c r="AL1952">
        <f t="shared" si="30"/>
        <v>576</v>
      </c>
      <c r="AM1952">
        <f>IF(OR(Table1[[#This Row],[marital_Married]]=1,Table1[[#This Row],[marital_Together]]=1),1,0)</f>
        <v>1</v>
      </c>
      <c r="AN1952" t="str">
        <f>IF(Table1[[#This Row],[Income]]&gt;=70000,"HIGH INCOME","LOW INCOME")</f>
        <v>LOW INCOME</v>
      </c>
      <c r="AO1952" s="1" t="str">
        <f>IF(Table1[[#This Row],[MNT_TOTAL]]&gt;=900,"HIGH VALUE","LOW VALUE")</f>
        <v>LOW VALUE</v>
      </c>
      <c r="AP19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2" s="1"/>
      <c r="AR1952" s="1"/>
    </row>
    <row r="1953" spans="1:44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52</v>
      </c>
      <c r="X1953">
        <v>2441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78</v>
      </c>
      <c r="AJ1953">
        <v>68</v>
      </c>
      <c r="AK1953">
        <v>0</v>
      </c>
      <c r="AL1953">
        <f t="shared" si="30"/>
        <v>88</v>
      </c>
      <c r="AM1953">
        <f>IF(OR(Table1[[#This Row],[marital_Married]]=1,Table1[[#This Row],[marital_Together]]=1),1,0)</f>
        <v>0</v>
      </c>
      <c r="AN1953" t="str">
        <f>IF(Table1[[#This Row],[Income]]&gt;=70000,"HIGH INCOME","LOW INCOME")</f>
        <v>LOW INCOME</v>
      </c>
      <c r="AO1953" s="1" t="str">
        <f>IF(Table1[[#This Row],[MNT_TOTAL]]&gt;=900,"HIGH VALUE","LOW VALUE")</f>
        <v>LOW VALUE</v>
      </c>
      <c r="AP19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53" s="1"/>
      <c r="AR1953" s="1"/>
    </row>
    <row r="1954" spans="1:44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41</v>
      </c>
      <c r="X1954">
        <v>2239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50</v>
      </c>
      <c r="AJ1954">
        <v>37</v>
      </c>
      <c r="AK1954">
        <v>0</v>
      </c>
      <c r="AL1954">
        <f t="shared" si="30"/>
        <v>63</v>
      </c>
      <c r="AM1954">
        <f>IF(OR(Table1[[#This Row],[marital_Married]]=1,Table1[[#This Row],[marital_Together]]=1),1,0)</f>
        <v>1</v>
      </c>
      <c r="AN1954" t="str">
        <f>IF(Table1[[#This Row],[Income]]&gt;=70000,"HIGH INCOME","LOW INCOME")</f>
        <v>LOW INCOME</v>
      </c>
      <c r="AO1954" s="1" t="str">
        <f>IF(Table1[[#This Row],[MNT_TOTAL]]&gt;=900,"HIGH VALUE","LOW VALUE")</f>
        <v>LOW VALUE</v>
      </c>
      <c r="AP19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4" s="1"/>
      <c r="AR1954" s="1"/>
    </row>
    <row r="1955" spans="1:44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36</v>
      </c>
      <c r="X1955">
        <v>2730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18</v>
      </c>
      <c r="AJ1955">
        <v>9</v>
      </c>
      <c r="AK1955">
        <v>1</v>
      </c>
      <c r="AL1955">
        <f t="shared" si="30"/>
        <v>27</v>
      </c>
      <c r="AM1955">
        <f>IF(OR(Table1[[#This Row],[marital_Married]]=1,Table1[[#This Row],[marital_Together]]=1),1,0)</f>
        <v>0</v>
      </c>
      <c r="AN1955" t="str">
        <f>IF(Table1[[#This Row],[Income]]&gt;=70000,"HIGH INCOME","LOW INCOME")</f>
        <v>LOW INCOME</v>
      </c>
      <c r="AO1955" s="1" t="str">
        <f>IF(Table1[[#This Row],[MNT_TOTAL]]&gt;=900,"HIGH VALUE","LOW VALUE")</f>
        <v>LOW VALUE</v>
      </c>
      <c r="AP19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55" s="1"/>
      <c r="AR1955" s="1"/>
    </row>
    <row r="1956" spans="1:44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36</v>
      </c>
      <c r="X1956">
        <v>2646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149</v>
      </c>
      <c r="AJ1956">
        <v>105</v>
      </c>
      <c r="AK1956">
        <v>0</v>
      </c>
      <c r="AL1956">
        <f t="shared" si="30"/>
        <v>193</v>
      </c>
      <c r="AM1956">
        <f>IF(OR(Table1[[#This Row],[marital_Married]]=1,Table1[[#This Row],[marital_Together]]=1),1,0)</f>
        <v>1</v>
      </c>
      <c r="AN1956" t="str">
        <f>IF(Table1[[#This Row],[Income]]&gt;=70000,"HIGH INCOME","LOW INCOME")</f>
        <v>LOW INCOME</v>
      </c>
      <c r="AO1956" s="1" t="str">
        <f>IF(Table1[[#This Row],[MNT_TOTAL]]&gt;=900,"HIGH VALUE","LOW VALUE")</f>
        <v>LOW VALUE</v>
      </c>
      <c r="AP19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6" s="1"/>
      <c r="AR1956" s="1"/>
    </row>
    <row r="1957" spans="1:44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46</v>
      </c>
      <c r="X1957">
        <v>2808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90</v>
      </c>
      <c r="AJ1957">
        <v>79</v>
      </c>
      <c r="AK1957">
        <v>0</v>
      </c>
      <c r="AL1957">
        <f t="shared" si="30"/>
        <v>101</v>
      </c>
      <c r="AM1957">
        <f>IF(OR(Table1[[#This Row],[marital_Married]]=1,Table1[[#This Row],[marital_Together]]=1),1,0)</f>
        <v>0</v>
      </c>
      <c r="AN1957" t="str">
        <f>IF(Table1[[#This Row],[Income]]&gt;=70000,"HIGH INCOME","LOW INCOME")</f>
        <v>LOW INCOME</v>
      </c>
      <c r="AO1957" s="1" t="str">
        <f>IF(Table1[[#This Row],[MNT_TOTAL]]&gt;=900,"HIGH VALUE","LOW VALUE")</f>
        <v>LOW VALUE</v>
      </c>
      <c r="AP19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57" s="1"/>
      <c r="AR1957" s="1"/>
    </row>
    <row r="1958" spans="1:44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69</v>
      </c>
      <c r="X1958">
        <v>2296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2068</v>
      </c>
      <c r="AJ1958">
        <v>1925</v>
      </c>
      <c r="AK1958">
        <v>2</v>
      </c>
      <c r="AL1958">
        <f t="shared" si="30"/>
        <v>2211</v>
      </c>
      <c r="AM1958">
        <f>IF(OR(Table1[[#This Row],[marital_Married]]=1,Table1[[#This Row],[marital_Together]]=1),1,0)</f>
        <v>1</v>
      </c>
      <c r="AN1958" t="str">
        <f>IF(Table1[[#This Row],[Income]]&gt;=70000,"HIGH INCOME","LOW INCOME")</f>
        <v>HIGH INCOME</v>
      </c>
      <c r="AO1958" s="1" t="str">
        <f>IF(Table1[[#This Row],[MNT_TOTAL]]&gt;=900,"HIGH VALUE","LOW VALUE")</f>
        <v>HIGH VALUE</v>
      </c>
      <c r="AP19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58" s="1"/>
      <c r="AR1958" s="1"/>
    </row>
    <row r="1959" spans="1:44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58</v>
      </c>
      <c r="X1959">
        <v>2543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118</v>
      </c>
      <c r="AJ1959">
        <v>96</v>
      </c>
      <c r="AK1959">
        <v>0</v>
      </c>
      <c r="AL1959">
        <f t="shared" si="30"/>
        <v>140</v>
      </c>
      <c r="AM1959">
        <f>IF(OR(Table1[[#This Row],[marital_Married]]=1,Table1[[#This Row],[marital_Together]]=1),1,0)</f>
        <v>1</v>
      </c>
      <c r="AN1959" t="str">
        <f>IF(Table1[[#This Row],[Income]]&gt;=70000,"HIGH INCOME","LOW INCOME")</f>
        <v>LOW INCOME</v>
      </c>
      <c r="AO1959" s="1" t="str">
        <f>IF(Table1[[#This Row],[MNT_TOTAL]]&gt;=900,"HIGH VALUE","LOW VALUE")</f>
        <v>LOW VALUE</v>
      </c>
      <c r="AP19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59" s="1"/>
      <c r="AR1959" s="1"/>
    </row>
    <row r="1960" spans="1:44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45</v>
      </c>
      <c r="X1960">
        <v>2661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388</v>
      </c>
      <c r="AJ1960">
        <v>361</v>
      </c>
      <c r="AK1960">
        <v>0</v>
      </c>
      <c r="AL1960">
        <f t="shared" si="30"/>
        <v>415</v>
      </c>
      <c r="AM1960">
        <f>IF(OR(Table1[[#This Row],[marital_Married]]=1,Table1[[#This Row],[marital_Together]]=1),1,0)</f>
        <v>0</v>
      </c>
      <c r="AN1960" t="str">
        <f>IF(Table1[[#This Row],[Income]]&gt;=70000,"HIGH INCOME","LOW INCOME")</f>
        <v>LOW INCOME</v>
      </c>
      <c r="AO1960" s="1" t="str">
        <f>IF(Table1[[#This Row],[MNT_TOTAL]]&gt;=900,"HIGH VALUE","LOW VALUE")</f>
        <v>LOW VALUE</v>
      </c>
      <c r="AP19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60" s="1"/>
      <c r="AR1960" s="1"/>
    </row>
    <row r="1961" spans="1:44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63</v>
      </c>
      <c r="X1961">
        <v>2711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19</v>
      </c>
      <c r="AJ1961">
        <v>16</v>
      </c>
      <c r="AK1961">
        <v>0</v>
      </c>
      <c r="AL1961">
        <f t="shared" si="30"/>
        <v>22</v>
      </c>
      <c r="AM1961">
        <f>IF(OR(Table1[[#This Row],[marital_Married]]=1,Table1[[#This Row],[marital_Together]]=1),1,0)</f>
        <v>1</v>
      </c>
      <c r="AN1961" t="str">
        <f>IF(Table1[[#This Row],[Income]]&gt;=70000,"HIGH INCOME","LOW INCOME")</f>
        <v>LOW INCOME</v>
      </c>
      <c r="AO1961" s="1" t="str">
        <f>IF(Table1[[#This Row],[MNT_TOTAL]]&gt;=900,"HIGH VALUE","LOW VALUE")</f>
        <v>LOW VALUE</v>
      </c>
      <c r="AP19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1" s="1"/>
      <c r="AR1961" s="1"/>
    </row>
    <row r="1962" spans="1:44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42</v>
      </c>
      <c r="X1962">
        <v>2667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221</v>
      </c>
      <c r="AJ1962">
        <v>179</v>
      </c>
      <c r="AK1962">
        <v>0</v>
      </c>
      <c r="AL1962">
        <f t="shared" si="30"/>
        <v>263</v>
      </c>
      <c r="AM1962">
        <f>IF(OR(Table1[[#This Row],[marital_Married]]=1,Table1[[#This Row],[marital_Together]]=1),1,0)</f>
        <v>1</v>
      </c>
      <c r="AN1962" t="str">
        <f>IF(Table1[[#This Row],[Income]]&gt;=70000,"HIGH INCOME","LOW INCOME")</f>
        <v>LOW INCOME</v>
      </c>
      <c r="AO1962" s="1" t="str">
        <f>IF(Table1[[#This Row],[MNT_TOTAL]]&gt;=900,"HIGH VALUE","LOW VALUE")</f>
        <v>LOW VALUE</v>
      </c>
      <c r="AP19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2" s="1"/>
      <c r="AR1962" s="1"/>
    </row>
    <row r="1963" spans="1:44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29</v>
      </c>
      <c r="X1963">
        <v>2531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276</v>
      </c>
      <c r="AJ1963">
        <v>159</v>
      </c>
      <c r="AK1963">
        <v>0</v>
      </c>
      <c r="AL1963">
        <f t="shared" si="30"/>
        <v>393</v>
      </c>
      <c r="AM1963">
        <f>IF(OR(Table1[[#This Row],[marital_Married]]=1,Table1[[#This Row],[marital_Together]]=1),1,0)</f>
        <v>1</v>
      </c>
      <c r="AN1963" t="str">
        <f>IF(Table1[[#This Row],[Income]]&gt;=70000,"HIGH INCOME","LOW INCOME")</f>
        <v>LOW INCOME</v>
      </c>
      <c r="AO1963" s="1" t="str">
        <f>IF(Table1[[#This Row],[MNT_TOTAL]]&gt;=900,"HIGH VALUE","LOW VALUE")</f>
        <v>LOW VALUE</v>
      </c>
      <c r="AP19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3" s="1"/>
      <c r="AR1963" s="1"/>
    </row>
    <row r="1964" spans="1:44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34</v>
      </c>
      <c r="X1964">
        <v>2410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118</v>
      </c>
      <c r="AJ1964">
        <v>89</v>
      </c>
      <c r="AK1964">
        <v>0</v>
      </c>
      <c r="AL1964">
        <f t="shared" si="30"/>
        <v>147</v>
      </c>
      <c r="AM1964">
        <f>IF(OR(Table1[[#This Row],[marital_Married]]=1,Table1[[#This Row],[marital_Together]]=1),1,0)</f>
        <v>1</v>
      </c>
      <c r="AN1964" t="str">
        <f>IF(Table1[[#This Row],[Income]]&gt;=70000,"HIGH INCOME","LOW INCOME")</f>
        <v>LOW INCOME</v>
      </c>
      <c r="AO1964" s="1" t="str">
        <f>IF(Table1[[#This Row],[MNT_TOTAL]]&gt;=900,"HIGH VALUE","LOW VALUE")</f>
        <v>LOW VALUE</v>
      </c>
      <c r="AP19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4" s="1"/>
      <c r="AR1964" s="1"/>
    </row>
    <row r="1965" spans="1:44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64</v>
      </c>
      <c r="X1965">
        <v>2236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392</v>
      </c>
      <c r="AJ1965">
        <v>341</v>
      </c>
      <c r="AK1965">
        <v>0</v>
      </c>
      <c r="AL1965">
        <f t="shared" si="30"/>
        <v>443</v>
      </c>
      <c r="AM1965">
        <f>IF(OR(Table1[[#This Row],[marital_Married]]=1,Table1[[#This Row],[marital_Together]]=1),1,0)</f>
        <v>1</v>
      </c>
      <c r="AN1965" t="str">
        <f>IF(Table1[[#This Row],[Income]]&gt;=70000,"HIGH INCOME","LOW INCOME")</f>
        <v>LOW INCOME</v>
      </c>
      <c r="AO1965" s="1" t="str">
        <f>IF(Table1[[#This Row],[MNT_TOTAL]]&gt;=900,"HIGH VALUE","LOW VALUE")</f>
        <v>LOW VALUE</v>
      </c>
      <c r="AP19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5" s="1"/>
      <c r="AR1965" s="1"/>
    </row>
    <row r="1966" spans="1:44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1</v>
      </c>
      <c r="W1966">
        <v>57</v>
      </c>
      <c r="X1966">
        <v>2354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1903</v>
      </c>
      <c r="AJ1966">
        <v>1848</v>
      </c>
      <c r="AK1966">
        <v>1</v>
      </c>
      <c r="AL1966">
        <f t="shared" si="30"/>
        <v>1958</v>
      </c>
      <c r="AM1966">
        <f>IF(OR(Table1[[#This Row],[marital_Married]]=1,Table1[[#This Row],[marital_Together]]=1),1,0)</f>
        <v>0</v>
      </c>
      <c r="AN1966" t="str">
        <f>IF(Table1[[#This Row],[Income]]&gt;=70000,"HIGH INCOME","LOW INCOME")</f>
        <v>HIGH INCOME</v>
      </c>
      <c r="AO1966" s="1" t="str">
        <f>IF(Table1[[#This Row],[MNT_TOTAL]]&gt;=900,"HIGH VALUE","LOW VALUE")</f>
        <v>HIGH VALUE</v>
      </c>
      <c r="AP19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66" s="1"/>
      <c r="AR1966" s="1"/>
    </row>
    <row r="1967" spans="1:44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49</v>
      </c>
      <c r="X1967">
        <v>2617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153</v>
      </c>
      <c r="AJ1967">
        <v>132</v>
      </c>
      <c r="AK1967">
        <v>0</v>
      </c>
      <c r="AL1967">
        <f t="shared" si="30"/>
        <v>174</v>
      </c>
      <c r="AM1967">
        <f>IF(OR(Table1[[#This Row],[marital_Married]]=1,Table1[[#This Row],[marital_Together]]=1),1,0)</f>
        <v>1</v>
      </c>
      <c r="AN1967" t="str">
        <f>IF(Table1[[#This Row],[Income]]&gt;=70000,"HIGH INCOME","LOW INCOME")</f>
        <v>LOW INCOME</v>
      </c>
      <c r="AO1967" s="1" t="str">
        <f>IF(Table1[[#This Row],[MNT_TOTAL]]&gt;=900,"HIGH VALUE","LOW VALUE")</f>
        <v>LOW VALUE</v>
      </c>
      <c r="AP19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67" s="1"/>
      <c r="AR1967" s="1"/>
    </row>
    <row r="1968" spans="1:44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1</v>
      </c>
      <c r="W1968">
        <v>73</v>
      </c>
      <c r="X1968">
        <v>2414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2169</v>
      </c>
      <c r="AJ1968">
        <v>2121</v>
      </c>
      <c r="AK1968">
        <v>1</v>
      </c>
      <c r="AL1968">
        <f t="shared" si="30"/>
        <v>2217</v>
      </c>
      <c r="AM1968">
        <f>IF(OR(Table1[[#This Row],[marital_Married]]=1,Table1[[#This Row],[marital_Together]]=1),1,0)</f>
        <v>0</v>
      </c>
      <c r="AN1968" t="str">
        <f>IF(Table1[[#This Row],[Income]]&gt;=70000,"HIGH INCOME","LOW INCOME")</f>
        <v>HIGH INCOME</v>
      </c>
      <c r="AO1968" s="1" t="str">
        <f>IF(Table1[[#This Row],[MNT_TOTAL]]&gt;=900,"HIGH VALUE","LOW VALUE")</f>
        <v>HIGH VALUE</v>
      </c>
      <c r="AP19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68" s="1"/>
      <c r="AR1968" s="1"/>
    </row>
    <row r="1969" spans="1:44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62</v>
      </c>
      <c r="X1969">
        <v>2246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1675</v>
      </c>
      <c r="AJ1969">
        <v>1659</v>
      </c>
      <c r="AK1969">
        <v>2</v>
      </c>
      <c r="AL1969">
        <f t="shared" si="30"/>
        <v>1691</v>
      </c>
      <c r="AM1969">
        <f>IF(OR(Table1[[#This Row],[marital_Married]]=1,Table1[[#This Row],[marital_Together]]=1),1,0)</f>
        <v>0</v>
      </c>
      <c r="AN1969" t="str">
        <f>IF(Table1[[#This Row],[Income]]&gt;=70000,"HIGH INCOME","LOW INCOME")</f>
        <v>HIGH INCOME</v>
      </c>
      <c r="AO1969" s="1" t="str">
        <f>IF(Table1[[#This Row],[MNT_TOTAL]]&gt;=900,"HIGH VALUE","LOW VALUE")</f>
        <v>HIGH VALUE</v>
      </c>
      <c r="AP19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69" s="1"/>
      <c r="AR1969" s="1"/>
    </row>
    <row r="1970" spans="1:44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60</v>
      </c>
      <c r="X1970">
        <v>2597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20</v>
      </c>
      <c r="AJ1970">
        <v>15</v>
      </c>
      <c r="AK1970">
        <v>0</v>
      </c>
      <c r="AL1970">
        <f t="shared" si="30"/>
        <v>25</v>
      </c>
      <c r="AM1970">
        <f>IF(OR(Table1[[#This Row],[marital_Married]]=1,Table1[[#This Row],[marital_Together]]=1),1,0)</f>
        <v>1</v>
      </c>
      <c r="AN1970" t="str">
        <f>IF(Table1[[#This Row],[Income]]&gt;=70000,"HIGH INCOME","LOW INCOME")</f>
        <v>LOW INCOME</v>
      </c>
      <c r="AO1970" s="1" t="str">
        <f>IF(Table1[[#This Row],[MNT_TOTAL]]&gt;=900,"HIGH VALUE","LOW VALUE")</f>
        <v>LOW VALUE</v>
      </c>
      <c r="AP19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70" s="1"/>
      <c r="AR1970" s="1"/>
    </row>
    <row r="1971" spans="1:44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1</v>
      </c>
      <c r="W1971">
        <v>40</v>
      </c>
      <c r="X1971">
        <v>2196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747</v>
      </c>
      <c r="AJ1971">
        <v>685</v>
      </c>
      <c r="AK1971">
        <v>3</v>
      </c>
      <c r="AL1971">
        <f t="shared" si="30"/>
        <v>809</v>
      </c>
      <c r="AM1971">
        <f>IF(OR(Table1[[#This Row],[marital_Married]]=1,Table1[[#This Row],[marital_Together]]=1),1,0)</f>
        <v>1</v>
      </c>
      <c r="AN1971" t="str">
        <f>IF(Table1[[#This Row],[Income]]&gt;=70000,"HIGH INCOME","LOW INCOME")</f>
        <v>HIGH INCOME</v>
      </c>
      <c r="AO1971" s="1" t="str">
        <f>IF(Table1[[#This Row],[MNT_TOTAL]]&gt;=900,"HIGH VALUE","LOW VALUE")</f>
        <v>LOW VALUE</v>
      </c>
      <c r="AP19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1" s="1"/>
      <c r="AR1971" s="1"/>
    </row>
    <row r="1972" spans="1:44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1</v>
      </c>
      <c r="W1972">
        <v>45</v>
      </c>
      <c r="X1972">
        <v>2828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851</v>
      </c>
      <c r="AJ1972">
        <v>807</v>
      </c>
      <c r="AK1972">
        <v>1</v>
      </c>
      <c r="AL1972">
        <f t="shared" si="30"/>
        <v>895</v>
      </c>
      <c r="AM1972">
        <f>IF(OR(Table1[[#This Row],[marital_Married]]=1,Table1[[#This Row],[marital_Together]]=1),1,0)</f>
        <v>1</v>
      </c>
      <c r="AN1972" t="str">
        <f>IF(Table1[[#This Row],[Income]]&gt;=70000,"HIGH INCOME","LOW INCOME")</f>
        <v>HIGH INCOME</v>
      </c>
      <c r="AO1972" s="1" t="str">
        <f>IF(Table1[[#This Row],[MNT_TOTAL]]&gt;=900,"HIGH VALUE","LOW VALUE")</f>
        <v>LOW VALUE</v>
      </c>
      <c r="AP19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2" s="1"/>
      <c r="AR1972" s="1"/>
    </row>
    <row r="1973" spans="1:44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45</v>
      </c>
      <c r="X1973">
        <v>2710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453</v>
      </c>
      <c r="AJ1973">
        <v>422</v>
      </c>
      <c r="AK1973">
        <v>0</v>
      </c>
      <c r="AL1973">
        <f t="shared" si="30"/>
        <v>484</v>
      </c>
      <c r="AM1973">
        <f>IF(OR(Table1[[#This Row],[marital_Married]]=1,Table1[[#This Row],[marital_Together]]=1),1,0)</f>
        <v>1</v>
      </c>
      <c r="AN1973" t="str">
        <f>IF(Table1[[#This Row],[Income]]&gt;=70000,"HIGH INCOME","LOW INCOME")</f>
        <v>LOW INCOME</v>
      </c>
      <c r="AO1973" s="1" t="str">
        <f>IF(Table1[[#This Row],[MNT_TOTAL]]&gt;=900,"HIGH VALUE","LOW VALUE")</f>
        <v>LOW VALUE</v>
      </c>
      <c r="AP19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73" s="1"/>
      <c r="AR1973" s="1"/>
    </row>
    <row r="1974" spans="1:44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47</v>
      </c>
      <c r="X1974">
        <v>2688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390</v>
      </c>
      <c r="AJ1974">
        <v>367</v>
      </c>
      <c r="AK1974">
        <v>1</v>
      </c>
      <c r="AL1974">
        <f t="shared" si="30"/>
        <v>413</v>
      </c>
      <c r="AM1974">
        <f>IF(OR(Table1[[#This Row],[marital_Married]]=1,Table1[[#This Row],[marital_Together]]=1),1,0)</f>
        <v>1</v>
      </c>
      <c r="AN1974" t="str">
        <f>IF(Table1[[#This Row],[Income]]&gt;=70000,"HIGH INCOME","LOW INCOME")</f>
        <v>LOW INCOME</v>
      </c>
      <c r="AO1974" s="1" t="str">
        <f>IF(Table1[[#This Row],[MNT_TOTAL]]&gt;=900,"HIGH VALUE","LOW VALUE")</f>
        <v>LOW VALUE</v>
      </c>
      <c r="AP19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74" s="1"/>
      <c r="AR1974" s="1"/>
    </row>
    <row r="1975" spans="1:44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40</v>
      </c>
      <c r="X1975">
        <v>2337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264</v>
      </c>
      <c r="AJ1975">
        <v>197</v>
      </c>
      <c r="AK1975">
        <v>0</v>
      </c>
      <c r="AL1975">
        <f t="shared" si="30"/>
        <v>331</v>
      </c>
      <c r="AM1975">
        <f>IF(OR(Table1[[#This Row],[marital_Married]]=1,Table1[[#This Row],[marital_Together]]=1),1,0)</f>
        <v>0</v>
      </c>
      <c r="AN1975" t="str">
        <f>IF(Table1[[#This Row],[Income]]&gt;=70000,"HIGH INCOME","LOW INCOME")</f>
        <v>LOW INCOME</v>
      </c>
      <c r="AO1975" s="1" t="str">
        <f>IF(Table1[[#This Row],[MNT_TOTAL]]&gt;=900,"HIGH VALUE","LOW VALUE")</f>
        <v>LOW VALUE</v>
      </c>
      <c r="AP19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5" s="1"/>
      <c r="AR1975" s="1"/>
    </row>
    <row r="1976" spans="1:44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50</v>
      </c>
      <c r="X1976">
        <v>2637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22</v>
      </c>
      <c r="AJ1976">
        <v>19</v>
      </c>
      <c r="AK1976">
        <v>0</v>
      </c>
      <c r="AL1976">
        <f t="shared" si="30"/>
        <v>25</v>
      </c>
      <c r="AM1976">
        <f>IF(OR(Table1[[#This Row],[marital_Married]]=1,Table1[[#This Row],[marital_Together]]=1),1,0)</f>
        <v>0</v>
      </c>
      <c r="AN1976" t="str">
        <f>IF(Table1[[#This Row],[Income]]&gt;=70000,"HIGH INCOME","LOW INCOME")</f>
        <v>LOW INCOME</v>
      </c>
      <c r="AO1976" s="1" t="str">
        <f>IF(Table1[[#This Row],[MNT_TOTAL]]&gt;=900,"HIGH VALUE","LOW VALUE")</f>
        <v>LOW VALUE</v>
      </c>
      <c r="AP19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6" s="1"/>
      <c r="AR1976" s="1"/>
    </row>
    <row r="1977" spans="1:44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53</v>
      </c>
      <c r="X1977">
        <v>2346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13</v>
      </c>
      <c r="AJ1977">
        <v>13</v>
      </c>
      <c r="AK1977">
        <v>0</v>
      </c>
      <c r="AL1977">
        <f t="shared" si="30"/>
        <v>13</v>
      </c>
      <c r="AM1977">
        <f>IF(OR(Table1[[#This Row],[marital_Married]]=1,Table1[[#This Row],[marital_Together]]=1),1,0)</f>
        <v>0</v>
      </c>
      <c r="AN1977" t="str">
        <f>IF(Table1[[#This Row],[Income]]&gt;=70000,"HIGH INCOME","LOW INCOME")</f>
        <v>LOW INCOME</v>
      </c>
      <c r="AO1977" s="1" t="str">
        <f>IF(Table1[[#This Row],[MNT_TOTAL]]&gt;=900,"HIGH VALUE","LOW VALUE")</f>
        <v>LOW VALUE</v>
      </c>
      <c r="AP19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7" s="1"/>
      <c r="AR1977" s="1"/>
    </row>
    <row r="1978" spans="1:44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50</v>
      </c>
      <c r="X1978">
        <v>2820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93</v>
      </c>
      <c r="AJ1978">
        <v>71</v>
      </c>
      <c r="AK1978">
        <v>0</v>
      </c>
      <c r="AL1978">
        <f t="shared" si="30"/>
        <v>115</v>
      </c>
      <c r="AM1978">
        <f>IF(OR(Table1[[#This Row],[marital_Married]]=1,Table1[[#This Row],[marital_Together]]=1),1,0)</f>
        <v>1</v>
      </c>
      <c r="AN1978" t="str">
        <f>IF(Table1[[#This Row],[Income]]&gt;=70000,"HIGH INCOME","LOW INCOME")</f>
        <v>LOW INCOME</v>
      </c>
      <c r="AO1978" s="1" t="str">
        <f>IF(Table1[[#This Row],[MNT_TOTAL]]&gt;=900,"HIGH VALUE","LOW VALUE")</f>
        <v>LOW VALUE</v>
      </c>
      <c r="AP19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78" s="1"/>
      <c r="AR1978" s="1"/>
    </row>
    <row r="1979" spans="1:44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2176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16</v>
      </c>
      <c r="AJ1979">
        <v>16</v>
      </c>
      <c r="AK1979">
        <v>0</v>
      </c>
      <c r="AL1979">
        <f t="shared" si="30"/>
        <v>16</v>
      </c>
      <c r="AM1979">
        <f>IF(OR(Table1[[#This Row],[marital_Married]]=1,Table1[[#This Row],[marital_Together]]=1),1,0)</f>
        <v>0</v>
      </c>
      <c r="AN1979" t="str">
        <f>IF(Table1[[#This Row],[Income]]&gt;=70000,"HIGH INCOME","LOW INCOME")</f>
        <v>LOW INCOME</v>
      </c>
      <c r="AO1979" s="1" t="str">
        <f>IF(Table1[[#This Row],[MNT_TOTAL]]&gt;=900,"HIGH VALUE","LOW VALUE")</f>
        <v>LOW VALUE</v>
      </c>
      <c r="AP19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79" s="1"/>
      <c r="AR1979" s="1"/>
    </row>
    <row r="1980" spans="1:44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48</v>
      </c>
      <c r="X1980">
        <v>2443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84</v>
      </c>
      <c r="AJ1980">
        <v>76</v>
      </c>
      <c r="AK1980">
        <v>0</v>
      </c>
      <c r="AL1980">
        <f t="shared" si="30"/>
        <v>92</v>
      </c>
      <c r="AM1980">
        <f>IF(OR(Table1[[#This Row],[marital_Married]]=1,Table1[[#This Row],[marital_Together]]=1),1,0)</f>
        <v>0</v>
      </c>
      <c r="AN1980" t="str">
        <f>IF(Table1[[#This Row],[Income]]&gt;=70000,"HIGH INCOME","LOW INCOME")</f>
        <v>LOW INCOME</v>
      </c>
      <c r="AO1980" s="1" t="str">
        <f>IF(Table1[[#This Row],[MNT_TOTAL]]&gt;=900,"HIGH VALUE","LOW VALUE")</f>
        <v>LOW VALUE</v>
      </c>
      <c r="AP19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0" s="1"/>
      <c r="AR1980" s="1"/>
    </row>
    <row r="1981" spans="1:44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43</v>
      </c>
      <c r="X1981">
        <v>2393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50</v>
      </c>
      <c r="AJ1981">
        <v>48</v>
      </c>
      <c r="AK1981">
        <v>0</v>
      </c>
      <c r="AL1981">
        <f t="shared" si="30"/>
        <v>52</v>
      </c>
      <c r="AM1981">
        <f>IF(OR(Table1[[#This Row],[marital_Married]]=1,Table1[[#This Row],[marital_Together]]=1),1,0)</f>
        <v>1</v>
      </c>
      <c r="AN1981" t="str">
        <f>IF(Table1[[#This Row],[Income]]&gt;=70000,"HIGH INCOME","LOW INCOME")</f>
        <v>LOW INCOME</v>
      </c>
      <c r="AO1981" s="1" t="str">
        <f>IF(Table1[[#This Row],[MNT_TOTAL]]&gt;=900,"HIGH VALUE","LOW VALUE")</f>
        <v>LOW VALUE</v>
      </c>
      <c r="AP19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81" s="1"/>
      <c r="AR1981" s="1"/>
    </row>
    <row r="1982" spans="1:44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50</v>
      </c>
      <c r="X1982">
        <v>2739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1384</v>
      </c>
      <c r="AJ1982">
        <v>1304</v>
      </c>
      <c r="AK1982">
        <v>0</v>
      </c>
      <c r="AL1982">
        <f t="shared" si="30"/>
        <v>1464</v>
      </c>
      <c r="AM1982">
        <f>IF(OR(Table1[[#This Row],[marital_Married]]=1,Table1[[#This Row],[marital_Together]]=1),1,0)</f>
        <v>1</v>
      </c>
      <c r="AN1982" t="str">
        <f>IF(Table1[[#This Row],[Income]]&gt;=70000,"HIGH INCOME","LOW INCOME")</f>
        <v>LOW INCOME</v>
      </c>
      <c r="AO1982" s="1" t="str">
        <f>IF(Table1[[#This Row],[MNT_TOTAL]]&gt;=900,"HIGH VALUE","LOW VALUE")</f>
        <v>HIGH VALUE</v>
      </c>
      <c r="AP19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2" s="1"/>
      <c r="AR1982" s="1"/>
    </row>
    <row r="1983" spans="1:44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56</v>
      </c>
      <c r="X1983">
        <v>2660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350</v>
      </c>
      <c r="AJ1983">
        <v>259</v>
      </c>
      <c r="AK1983">
        <v>1</v>
      </c>
      <c r="AL1983">
        <f t="shared" si="30"/>
        <v>441</v>
      </c>
      <c r="AM1983">
        <f>IF(OR(Table1[[#This Row],[marital_Married]]=1,Table1[[#This Row],[marital_Together]]=1),1,0)</f>
        <v>0</v>
      </c>
      <c r="AN1983" t="str">
        <f>IF(Table1[[#This Row],[Income]]&gt;=70000,"HIGH INCOME","LOW INCOME")</f>
        <v>LOW INCOME</v>
      </c>
      <c r="AO1983" s="1" t="str">
        <f>IF(Table1[[#This Row],[MNT_TOTAL]]&gt;=900,"HIGH VALUE","LOW VALUE")</f>
        <v>LOW VALUE</v>
      </c>
      <c r="AP19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3" s="1"/>
      <c r="AR1983" s="1"/>
    </row>
    <row r="1984" spans="1:44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61</v>
      </c>
      <c r="X1984">
        <v>2444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</v>
      </c>
      <c r="AI1984">
        <v>263</v>
      </c>
      <c r="AJ1984">
        <v>243</v>
      </c>
      <c r="AK1984">
        <v>0</v>
      </c>
      <c r="AL1984">
        <f t="shared" si="30"/>
        <v>283</v>
      </c>
      <c r="AM1984">
        <f>IF(OR(Table1[[#This Row],[marital_Married]]=1,Table1[[#This Row],[marital_Together]]=1),1,0)</f>
        <v>0</v>
      </c>
      <c r="AN1984" t="str">
        <f>IF(Table1[[#This Row],[Income]]&gt;=70000,"HIGH INCOME","LOW INCOME")</f>
        <v>LOW INCOME</v>
      </c>
      <c r="AO1984" s="1" t="str">
        <f>IF(Table1[[#This Row],[MNT_TOTAL]]&gt;=900,"HIGH VALUE","LOW VALUE")</f>
        <v>LOW VALUE</v>
      </c>
      <c r="AP19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4" s="1"/>
      <c r="AR1984" s="1"/>
    </row>
    <row r="1985" spans="1:44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2278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712</v>
      </c>
      <c r="AJ1985">
        <v>677</v>
      </c>
      <c r="AK1985">
        <v>0</v>
      </c>
      <c r="AL1985">
        <f t="shared" si="30"/>
        <v>747</v>
      </c>
      <c r="AM1985">
        <f>IF(OR(Table1[[#This Row],[marital_Married]]=1,Table1[[#This Row],[marital_Together]]=1),1,0)</f>
        <v>1</v>
      </c>
      <c r="AN1985" t="str">
        <f>IF(Table1[[#This Row],[Income]]&gt;=70000,"HIGH INCOME","LOW INCOME")</f>
        <v>LOW INCOME</v>
      </c>
      <c r="AO1985" s="1" t="str">
        <f>IF(Table1[[#This Row],[MNT_TOTAL]]&gt;=900,"HIGH VALUE","LOW VALUE")</f>
        <v>LOW VALUE</v>
      </c>
      <c r="AP19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85" s="1"/>
      <c r="AR1985" s="1"/>
    </row>
    <row r="1986" spans="1:44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62</v>
      </c>
      <c r="X1986">
        <v>2564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1784</v>
      </c>
      <c r="AJ1986">
        <v>1698</v>
      </c>
      <c r="AK1986">
        <v>0</v>
      </c>
      <c r="AL1986">
        <f t="shared" ref="AL1986:AL2049" si="31">SUM(E1986:J1986)</f>
        <v>1870</v>
      </c>
      <c r="AM1986">
        <f>IF(OR(Table1[[#This Row],[marital_Married]]=1,Table1[[#This Row],[marital_Together]]=1),1,0)</f>
        <v>0</v>
      </c>
      <c r="AN1986" t="str">
        <f>IF(Table1[[#This Row],[Income]]&gt;=70000,"HIGH INCOME","LOW INCOME")</f>
        <v>HIGH INCOME</v>
      </c>
      <c r="AO1986" s="1" t="str">
        <f>IF(Table1[[#This Row],[MNT_TOTAL]]&gt;=900,"HIGH VALUE","LOW VALUE")</f>
        <v>HIGH VALUE</v>
      </c>
      <c r="AP19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1986" s="1"/>
      <c r="AR1986" s="1"/>
    </row>
    <row r="1987" spans="1:44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34</v>
      </c>
      <c r="X1987">
        <v>2659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153</v>
      </c>
      <c r="AJ1987">
        <v>141</v>
      </c>
      <c r="AK1987">
        <v>0</v>
      </c>
      <c r="AL1987">
        <f t="shared" si="31"/>
        <v>165</v>
      </c>
      <c r="AM1987">
        <f>IF(OR(Table1[[#This Row],[marital_Married]]=1,Table1[[#This Row],[marital_Together]]=1),1,0)</f>
        <v>0</v>
      </c>
      <c r="AN1987" t="str">
        <f>IF(Table1[[#This Row],[Income]]&gt;=70000,"HIGH INCOME","LOW INCOME")</f>
        <v>LOW INCOME</v>
      </c>
      <c r="AO1987" s="1" t="str">
        <f>IF(Table1[[#This Row],[MNT_TOTAL]]&gt;=900,"HIGH VALUE","LOW VALUE")</f>
        <v>LOW VALUE</v>
      </c>
      <c r="AP19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87" s="1"/>
      <c r="AR1987" s="1"/>
    </row>
    <row r="1988" spans="1:44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1</v>
      </c>
      <c r="W1988">
        <v>43</v>
      </c>
      <c r="X1988">
        <v>2486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1920</v>
      </c>
      <c r="AJ1988">
        <v>1899</v>
      </c>
      <c r="AK1988">
        <v>3</v>
      </c>
      <c r="AL1988">
        <f t="shared" si="31"/>
        <v>1941</v>
      </c>
      <c r="AM1988">
        <f>IF(OR(Table1[[#This Row],[marital_Married]]=1,Table1[[#This Row],[marital_Together]]=1),1,0)</f>
        <v>1</v>
      </c>
      <c r="AN1988" t="str">
        <f>IF(Table1[[#This Row],[Income]]&gt;=70000,"HIGH INCOME","LOW INCOME")</f>
        <v>HIGH INCOME</v>
      </c>
      <c r="AO1988" s="1" t="str">
        <f>IF(Table1[[#This Row],[MNT_TOTAL]]&gt;=900,"HIGH VALUE","LOW VALUE")</f>
        <v>HIGH VALUE</v>
      </c>
      <c r="AP19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88" s="1"/>
      <c r="AR1988" s="1"/>
    </row>
    <row r="1989" spans="1:44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39</v>
      </c>
      <c r="X1989">
        <v>2677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809</v>
      </c>
      <c r="AJ1989">
        <v>779</v>
      </c>
      <c r="AK1989">
        <v>0</v>
      </c>
      <c r="AL1989">
        <f t="shared" si="31"/>
        <v>839</v>
      </c>
      <c r="AM1989">
        <f>IF(OR(Table1[[#This Row],[marital_Married]]=1,Table1[[#This Row],[marital_Together]]=1),1,0)</f>
        <v>1</v>
      </c>
      <c r="AN1989" t="str">
        <f>IF(Table1[[#This Row],[Income]]&gt;=70000,"HIGH INCOME","LOW INCOME")</f>
        <v>LOW INCOME</v>
      </c>
      <c r="AO1989" s="1" t="str">
        <f>IF(Table1[[#This Row],[MNT_TOTAL]]&gt;=900,"HIGH VALUE","LOW VALUE")</f>
        <v>LOW VALUE</v>
      </c>
      <c r="AP19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89" s="1"/>
      <c r="AR1989" s="1"/>
    </row>
    <row r="1990" spans="1:44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62</v>
      </c>
      <c r="X1990">
        <v>2850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1614</v>
      </c>
      <c r="AJ1990">
        <v>1573</v>
      </c>
      <c r="AK1990">
        <v>0</v>
      </c>
      <c r="AL1990">
        <f t="shared" si="31"/>
        <v>1655</v>
      </c>
      <c r="AM1990">
        <f>IF(OR(Table1[[#This Row],[marital_Married]]=1,Table1[[#This Row],[marital_Together]]=1),1,0)</f>
        <v>0</v>
      </c>
      <c r="AN1990" t="str">
        <f>IF(Table1[[#This Row],[Income]]&gt;=70000,"HIGH INCOME","LOW INCOME")</f>
        <v>LOW INCOME</v>
      </c>
      <c r="AO1990" s="1" t="str">
        <f>IF(Table1[[#This Row],[MNT_TOTAL]]&gt;=900,"HIGH VALUE","LOW VALUE")</f>
        <v>HIGH VALUE</v>
      </c>
      <c r="AP19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90" s="1"/>
      <c r="AR1990" s="1"/>
    </row>
    <row r="1991" spans="1:44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45</v>
      </c>
      <c r="X1991">
        <v>2616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17</v>
      </c>
      <c r="AJ1991">
        <v>11</v>
      </c>
      <c r="AK1991">
        <v>0</v>
      </c>
      <c r="AL1991">
        <f t="shared" si="31"/>
        <v>23</v>
      </c>
      <c r="AM1991">
        <f>IF(OR(Table1[[#This Row],[marital_Married]]=1,Table1[[#This Row],[marital_Together]]=1),1,0)</f>
        <v>1</v>
      </c>
      <c r="AN1991" t="str">
        <f>IF(Table1[[#This Row],[Income]]&gt;=70000,"HIGH INCOME","LOW INCOME")</f>
        <v>LOW INCOME</v>
      </c>
      <c r="AO1991" s="1" t="str">
        <f>IF(Table1[[#This Row],[MNT_TOTAL]]&gt;=900,"HIGH VALUE","LOW VALUE")</f>
        <v>LOW VALUE</v>
      </c>
      <c r="AP19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1" s="1"/>
      <c r="AR1991" s="1"/>
    </row>
    <row r="1992" spans="1:44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37</v>
      </c>
      <c r="X1992">
        <v>2644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56</v>
      </c>
      <c r="AJ1992">
        <v>46</v>
      </c>
      <c r="AK1992">
        <v>0</v>
      </c>
      <c r="AL1992">
        <f t="shared" si="31"/>
        <v>66</v>
      </c>
      <c r="AM1992">
        <f>IF(OR(Table1[[#This Row],[marital_Married]]=1,Table1[[#This Row],[marital_Together]]=1),1,0)</f>
        <v>1</v>
      </c>
      <c r="AN1992" t="str">
        <f>IF(Table1[[#This Row],[Income]]&gt;=70000,"HIGH INCOME","LOW INCOME")</f>
        <v>LOW INCOME</v>
      </c>
      <c r="AO1992" s="1" t="str">
        <f>IF(Table1[[#This Row],[MNT_TOTAL]]&gt;=900,"HIGH VALUE","LOW VALUE")</f>
        <v>LOW VALUE</v>
      </c>
      <c r="AP19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2" s="1"/>
      <c r="AR1992" s="1"/>
    </row>
    <row r="1993" spans="1:44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53</v>
      </c>
      <c r="X1993">
        <v>2599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34</v>
      </c>
      <c r="AJ1993">
        <v>31</v>
      </c>
      <c r="AK1993">
        <v>0</v>
      </c>
      <c r="AL1993">
        <f t="shared" si="31"/>
        <v>37</v>
      </c>
      <c r="AM1993">
        <f>IF(OR(Table1[[#This Row],[marital_Married]]=1,Table1[[#This Row],[marital_Together]]=1),1,0)</f>
        <v>1</v>
      </c>
      <c r="AN1993" t="str">
        <f>IF(Table1[[#This Row],[Income]]&gt;=70000,"HIGH INCOME","LOW INCOME")</f>
        <v>LOW INCOME</v>
      </c>
      <c r="AO1993" s="1" t="str">
        <f>IF(Table1[[#This Row],[MNT_TOTAL]]&gt;=900,"HIGH VALUE","LOW VALUE")</f>
        <v>LOW VALUE</v>
      </c>
      <c r="AP19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3" s="1"/>
      <c r="AR1993" s="1"/>
    </row>
    <row r="1994" spans="1:44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69</v>
      </c>
      <c r="X1994">
        <v>2250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19</v>
      </c>
      <c r="AJ1994">
        <v>17</v>
      </c>
      <c r="AK1994">
        <v>0</v>
      </c>
      <c r="AL1994">
        <f t="shared" si="31"/>
        <v>21</v>
      </c>
      <c r="AM1994">
        <f>IF(OR(Table1[[#This Row],[marital_Married]]=1,Table1[[#This Row],[marital_Together]]=1),1,0)</f>
        <v>0</v>
      </c>
      <c r="AN1994" t="str">
        <f>IF(Table1[[#This Row],[Income]]&gt;=70000,"HIGH INCOME","LOW INCOME")</f>
        <v>LOW INCOME</v>
      </c>
      <c r="AO1994" s="1" t="str">
        <f>IF(Table1[[#This Row],[MNT_TOTAL]]&gt;=900,"HIGH VALUE","LOW VALUE")</f>
        <v>LOW VALUE</v>
      </c>
      <c r="AP19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1994" s="1"/>
      <c r="AR1994" s="1"/>
    </row>
    <row r="1995" spans="1:44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48</v>
      </c>
      <c r="X1995">
        <v>2801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16</v>
      </c>
      <c r="AJ1995">
        <v>10</v>
      </c>
      <c r="AK1995">
        <v>0</v>
      </c>
      <c r="AL1995">
        <f t="shared" si="31"/>
        <v>22</v>
      </c>
      <c r="AM1995">
        <f>IF(OR(Table1[[#This Row],[marital_Married]]=1,Table1[[#This Row],[marital_Together]]=1),1,0)</f>
        <v>1</v>
      </c>
      <c r="AN1995" t="str">
        <f>IF(Table1[[#This Row],[Income]]&gt;=70000,"HIGH INCOME","LOW INCOME")</f>
        <v>LOW INCOME</v>
      </c>
      <c r="AO1995" s="1" t="str">
        <f>IF(Table1[[#This Row],[MNT_TOTAL]]&gt;=900,"HIGH VALUE","LOW VALUE")</f>
        <v>LOW VALUE</v>
      </c>
      <c r="AP19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5" s="1"/>
      <c r="AR1995" s="1"/>
    </row>
    <row r="1996" spans="1:44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42</v>
      </c>
      <c r="X1996">
        <v>2296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65</v>
      </c>
      <c r="AJ1996">
        <v>52</v>
      </c>
      <c r="AK1996">
        <v>0</v>
      </c>
      <c r="AL1996">
        <f t="shared" si="31"/>
        <v>78</v>
      </c>
      <c r="AM1996">
        <f>IF(OR(Table1[[#This Row],[marital_Married]]=1,Table1[[#This Row],[marital_Together]]=1),1,0)</f>
        <v>1</v>
      </c>
      <c r="AN1996" t="str">
        <f>IF(Table1[[#This Row],[Income]]&gt;=70000,"HIGH INCOME","LOW INCOME")</f>
        <v>LOW INCOME</v>
      </c>
      <c r="AO1996" s="1" t="str">
        <f>IF(Table1[[#This Row],[MNT_TOTAL]]&gt;=900,"HIGH VALUE","LOW VALUE")</f>
        <v>LOW VALUE</v>
      </c>
      <c r="AP19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6" s="1"/>
      <c r="AR1996" s="1"/>
    </row>
    <row r="1997" spans="1:44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38</v>
      </c>
      <c r="X1997">
        <v>2609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64</v>
      </c>
      <c r="AJ1997">
        <v>49</v>
      </c>
      <c r="AK1997">
        <v>0</v>
      </c>
      <c r="AL1997">
        <f t="shared" si="31"/>
        <v>79</v>
      </c>
      <c r="AM1997">
        <f>IF(OR(Table1[[#This Row],[marital_Married]]=1,Table1[[#This Row],[marital_Together]]=1),1,0)</f>
        <v>1</v>
      </c>
      <c r="AN1997" t="str">
        <f>IF(Table1[[#This Row],[Income]]&gt;=70000,"HIGH INCOME","LOW INCOME")</f>
        <v>LOW INCOME</v>
      </c>
      <c r="AO1997" s="1" t="str">
        <f>IF(Table1[[#This Row],[MNT_TOTAL]]&gt;=900,"HIGH VALUE","LOW VALUE")</f>
        <v>LOW VALUE</v>
      </c>
      <c r="AP19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7" s="1"/>
      <c r="AR1997" s="1"/>
    </row>
    <row r="1998" spans="1:44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64</v>
      </c>
      <c r="X1998">
        <v>2318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260</v>
      </c>
      <c r="AJ1998">
        <v>255</v>
      </c>
      <c r="AK1998">
        <v>0</v>
      </c>
      <c r="AL1998">
        <f t="shared" si="31"/>
        <v>265</v>
      </c>
      <c r="AM1998">
        <f>IF(OR(Table1[[#This Row],[marital_Married]]=1,Table1[[#This Row],[marital_Together]]=1),1,0)</f>
        <v>1</v>
      </c>
      <c r="AN1998" t="str">
        <f>IF(Table1[[#This Row],[Income]]&gt;=70000,"HIGH INCOME","LOW INCOME")</f>
        <v>LOW INCOME</v>
      </c>
      <c r="AO1998" s="1" t="str">
        <f>IF(Table1[[#This Row],[MNT_TOTAL]]&gt;=900,"HIGH VALUE","LOW VALUE")</f>
        <v>LOW VALUE</v>
      </c>
      <c r="AP19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1998" s="1"/>
      <c r="AR1998" s="1"/>
    </row>
    <row r="1999" spans="1:44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68</v>
      </c>
      <c r="X1999">
        <v>2303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1164</v>
      </c>
      <c r="AJ1999">
        <v>1153</v>
      </c>
      <c r="AK1999">
        <v>0</v>
      </c>
      <c r="AL1999">
        <f t="shared" si="31"/>
        <v>1175</v>
      </c>
      <c r="AM1999">
        <f>IF(OR(Table1[[#This Row],[marital_Married]]=1,Table1[[#This Row],[marital_Together]]=1),1,0)</f>
        <v>1</v>
      </c>
      <c r="AN1999" t="str">
        <f>IF(Table1[[#This Row],[Income]]&gt;=70000,"HIGH INCOME","LOW INCOME")</f>
        <v>HIGH INCOME</v>
      </c>
      <c r="AO1999" s="1" t="str">
        <f>IF(Table1[[#This Row],[MNT_TOTAL]]&gt;=900,"HIGH VALUE","LOW VALUE")</f>
        <v>HIGH VALUE</v>
      </c>
      <c r="AP19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1999" s="1"/>
      <c r="AR1999" s="1"/>
    </row>
    <row r="2000" spans="1:44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55</v>
      </c>
      <c r="X2000">
        <v>2657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1101</v>
      </c>
      <c r="AJ2000">
        <v>897</v>
      </c>
      <c r="AK2000">
        <v>0</v>
      </c>
      <c r="AL2000">
        <f t="shared" si="31"/>
        <v>1305</v>
      </c>
      <c r="AM2000">
        <f>IF(OR(Table1[[#This Row],[marital_Married]]=1,Table1[[#This Row],[marital_Together]]=1),1,0)</f>
        <v>1</v>
      </c>
      <c r="AN2000" t="str">
        <f>IF(Table1[[#This Row],[Income]]&gt;=70000,"HIGH INCOME","LOW INCOME")</f>
        <v>HIGH INCOME</v>
      </c>
      <c r="AO2000" s="1" t="str">
        <f>IF(Table1[[#This Row],[MNT_TOTAL]]&gt;=900,"HIGH VALUE","LOW VALUE")</f>
        <v>HIGH VALUE</v>
      </c>
      <c r="AP20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00" s="1"/>
      <c r="AR2000" s="1"/>
    </row>
    <row r="2001" spans="1:44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41</v>
      </c>
      <c r="X2001">
        <v>2285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43</v>
      </c>
      <c r="AJ2001">
        <v>40</v>
      </c>
      <c r="AK2001">
        <v>0</v>
      </c>
      <c r="AL2001">
        <f t="shared" si="31"/>
        <v>46</v>
      </c>
      <c r="AM2001">
        <f>IF(OR(Table1[[#This Row],[marital_Married]]=1,Table1[[#This Row],[marital_Together]]=1),1,0)</f>
        <v>1</v>
      </c>
      <c r="AN2001" t="str">
        <f>IF(Table1[[#This Row],[Income]]&gt;=70000,"HIGH INCOME","LOW INCOME")</f>
        <v>LOW INCOME</v>
      </c>
      <c r="AO2001" s="1" t="str">
        <f>IF(Table1[[#This Row],[MNT_TOTAL]]&gt;=900,"HIGH VALUE","LOW VALUE")</f>
        <v>LOW VALUE</v>
      </c>
      <c r="AP20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1" s="1"/>
      <c r="AR2001" s="1"/>
    </row>
    <row r="2002" spans="1:44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55</v>
      </c>
      <c r="X2002">
        <v>2633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17</v>
      </c>
      <c r="AJ2002">
        <v>9</v>
      </c>
      <c r="AK2002">
        <v>0</v>
      </c>
      <c r="AL2002">
        <f t="shared" si="31"/>
        <v>25</v>
      </c>
      <c r="AM2002">
        <f>IF(OR(Table1[[#This Row],[marital_Married]]=1,Table1[[#This Row],[marital_Together]]=1),1,0)</f>
        <v>1</v>
      </c>
      <c r="AN2002" t="str">
        <f>IF(Table1[[#This Row],[Income]]&gt;=70000,"HIGH INCOME","LOW INCOME")</f>
        <v>LOW INCOME</v>
      </c>
      <c r="AO2002" s="1" t="str">
        <f>IF(Table1[[#This Row],[MNT_TOTAL]]&gt;=900,"HIGH VALUE","LOW VALUE")</f>
        <v>LOW VALUE</v>
      </c>
      <c r="AP20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2" s="1"/>
      <c r="AR2002" s="1"/>
    </row>
    <row r="2003" spans="1:44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67</v>
      </c>
      <c r="X2003">
        <v>2414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34</v>
      </c>
      <c r="AJ2003">
        <v>22</v>
      </c>
      <c r="AK2003">
        <v>0</v>
      </c>
      <c r="AL2003">
        <f t="shared" si="31"/>
        <v>46</v>
      </c>
      <c r="AM2003">
        <f>IF(OR(Table1[[#This Row],[marital_Married]]=1,Table1[[#This Row],[marital_Together]]=1),1,0)</f>
        <v>0</v>
      </c>
      <c r="AN2003" t="str">
        <f>IF(Table1[[#This Row],[Income]]&gt;=70000,"HIGH INCOME","LOW INCOME")</f>
        <v>LOW INCOME</v>
      </c>
      <c r="AO2003" s="1" t="str">
        <f>IF(Table1[[#This Row],[MNT_TOTAL]]&gt;=900,"HIGH VALUE","LOW VALUE")</f>
        <v>LOW VALUE</v>
      </c>
      <c r="AP20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03" s="1"/>
      <c r="AR2003" s="1"/>
    </row>
    <row r="2004" spans="1:44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71</v>
      </c>
      <c r="X2004">
        <v>2819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832</v>
      </c>
      <c r="AJ2004">
        <v>790</v>
      </c>
      <c r="AK2004">
        <v>1</v>
      </c>
      <c r="AL2004">
        <f t="shared" si="31"/>
        <v>874</v>
      </c>
      <c r="AM2004">
        <f>IF(OR(Table1[[#This Row],[marital_Married]]=1,Table1[[#This Row],[marital_Together]]=1),1,0)</f>
        <v>1</v>
      </c>
      <c r="AN2004" t="str">
        <f>IF(Table1[[#This Row],[Income]]&gt;=70000,"HIGH INCOME","LOW INCOME")</f>
        <v>LOW INCOME</v>
      </c>
      <c r="AO2004" s="1" t="str">
        <f>IF(Table1[[#This Row],[MNT_TOTAL]]&gt;=900,"HIGH VALUE","LOW VALUE")</f>
        <v>LOW VALUE</v>
      </c>
      <c r="AP20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4" s="1"/>
      <c r="AR2004" s="1"/>
    </row>
    <row r="2005" spans="1:44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35</v>
      </c>
      <c r="X2005">
        <v>2856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66</v>
      </c>
      <c r="AJ2005">
        <v>32</v>
      </c>
      <c r="AK2005">
        <v>0</v>
      </c>
      <c r="AL2005">
        <f t="shared" si="31"/>
        <v>100</v>
      </c>
      <c r="AM2005">
        <f>IF(OR(Table1[[#This Row],[marital_Married]]=1,Table1[[#This Row],[marital_Together]]=1),1,0)</f>
        <v>1</v>
      </c>
      <c r="AN2005" t="str">
        <f>IF(Table1[[#This Row],[Income]]&gt;=70000,"HIGH INCOME","LOW INCOME")</f>
        <v>LOW INCOME</v>
      </c>
      <c r="AO2005" s="1" t="str">
        <f>IF(Table1[[#This Row],[MNT_TOTAL]]&gt;=900,"HIGH VALUE","LOW VALUE")</f>
        <v>LOW VALUE</v>
      </c>
      <c r="AP20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5" s="1"/>
      <c r="AR2005" s="1"/>
    </row>
    <row r="2006" spans="1:44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73</v>
      </c>
      <c r="X2006">
        <v>2635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894</v>
      </c>
      <c r="AJ2006">
        <v>858</v>
      </c>
      <c r="AK2006">
        <v>1</v>
      </c>
      <c r="AL2006">
        <f t="shared" si="31"/>
        <v>930</v>
      </c>
      <c r="AM2006">
        <f>IF(OR(Table1[[#This Row],[marital_Married]]=1,Table1[[#This Row],[marital_Together]]=1),1,0)</f>
        <v>0</v>
      </c>
      <c r="AN2006" t="str">
        <f>IF(Table1[[#This Row],[Income]]&gt;=70000,"HIGH INCOME","LOW INCOME")</f>
        <v>LOW INCOME</v>
      </c>
      <c r="AO2006" s="1" t="str">
        <f>IF(Table1[[#This Row],[MNT_TOTAL]]&gt;=900,"HIGH VALUE","LOW VALUE")</f>
        <v>HIGH VALUE</v>
      </c>
      <c r="AP20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06" s="1"/>
      <c r="AR2006" s="1"/>
    </row>
    <row r="2007" spans="1:44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65</v>
      </c>
      <c r="X2007">
        <v>2374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725</v>
      </c>
      <c r="AJ2007">
        <v>582</v>
      </c>
      <c r="AK2007">
        <v>0</v>
      </c>
      <c r="AL2007">
        <f t="shared" si="31"/>
        <v>868</v>
      </c>
      <c r="AM2007">
        <f>IF(OR(Table1[[#This Row],[marital_Married]]=1,Table1[[#This Row],[marital_Together]]=1),1,0)</f>
        <v>1</v>
      </c>
      <c r="AN2007" t="str">
        <f>IF(Table1[[#This Row],[Income]]&gt;=70000,"HIGH INCOME","LOW INCOME")</f>
        <v>LOW INCOME</v>
      </c>
      <c r="AO2007" s="1" t="str">
        <f>IF(Table1[[#This Row],[MNT_TOTAL]]&gt;=900,"HIGH VALUE","LOW VALUE")</f>
        <v>LOW VALUE</v>
      </c>
      <c r="AP20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7" s="1"/>
      <c r="AR2007" s="1"/>
    </row>
    <row r="2008" spans="1:44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44</v>
      </c>
      <c r="X2008">
        <v>2388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44</v>
      </c>
      <c r="AJ2008">
        <v>43</v>
      </c>
      <c r="AK2008">
        <v>0</v>
      </c>
      <c r="AL2008">
        <f t="shared" si="31"/>
        <v>45</v>
      </c>
      <c r="AM2008">
        <f>IF(OR(Table1[[#This Row],[marital_Married]]=1,Table1[[#This Row],[marital_Together]]=1),1,0)</f>
        <v>1</v>
      </c>
      <c r="AN2008" t="str">
        <f>IF(Table1[[#This Row],[Income]]&gt;=70000,"HIGH INCOME","LOW INCOME")</f>
        <v>LOW INCOME</v>
      </c>
      <c r="AO2008" s="1" t="str">
        <f>IF(Table1[[#This Row],[MNT_TOTAL]]&gt;=900,"HIGH VALUE","LOW VALUE")</f>
        <v>LOW VALUE</v>
      </c>
      <c r="AP20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08" s="1"/>
      <c r="AR2008" s="1"/>
    </row>
    <row r="2009" spans="1:44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45</v>
      </c>
      <c r="X2009">
        <v>2585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1028</v>
      </c>
      <c r="AJ2009">
        <v>796</v>
      </c>
      <c r="AK2009">
        <v>0</v>
      </c>
      <c r="AL2009">
        <f t="shared" si="31"/>
        <v>1260</v>
      </c>
      <c r="AM2009">
        <f>IF(OR(Table1[[#This Row],[marital_Married]]=1,Table1[[#This Row],[marital_Together]]=1),1,0)</f>
        <v>1</v>
      </c>
      <c r="AN2009" t="str">
        <f>IF(Table1[[#This Row],[Income]]&gt;=70000,"HIGH INCOME","LOW INCOME")</f>
        <v>LOW INCOME</v>
      </c>
      <c r="AO2009" s="1" t="str">
        <f>IF(Table1[[#This Row],[MNT_TOTAL]]&gt;=900,"HIGH VALUE","LOW VALUE")</f>
        <v>HIGH VALUE</v>
      </c>
      <c r="AP20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09" s="1"/>
      <c r="AR2009" s="1"/>
    </row>
    <row r="2010" spans="1:44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36</v>
      </c>
      <c r="X2010">
        <v>2433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269</v>
      </c>
      <c r="AJ2010">
        <v>124</v>
      </c>
      <c r="AK2010">
        <v>1</v>
      </c>
      <c r="AL2010">
        <f t="shared" si="31"/>
        <v>414</v>
      </c>
      <c r="AM2010">
        <f>IF(OR(Table1[[#This Row],[marital_Married]]=1,Table1[[#This Row],[marital_Together]]=1),1,0)</f>
        <v>1</v>
      </c>
      <c r="AN2010" t="str">
        <f>IF(Table1[[#This Row],[Income]]&gt;=70000,"HIGH INCOME","LOW INCOME")</f>
        <v>LOW INCOME</v>
      </c>
      <c r="AO2010" s="1" t="str">
        <f>IF(Table1[[#This Row],[MNT_TOTAL]]&gt;=900,"HIGH VALUE","LOW VALUE")</f>
        <v>LOW VALUE</v>
      </c>
      <c r="AP20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0" s="1"/>
      <c r="AR2010" s="1"/>
    </row>
    <row r="2011" spans="1:44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70</v>
      </c>
      <c r="X2011">
        <v>2365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354</v>
      </c>
      <c r="AJ2011">
        <v>316</v>
      </c>
      <c r="AK2011">
        <v>0</v>
      </c>
      <c r="AL2011">
        <f t="shared" si="31"/>
        <v>392</v>
      </c>
      <c r="AM2011">
        <f>IF(OR(Table1[[#This Row],[marital_Married]]=1,Table1[[#This Row],[marital_Together]]=1),1,0)</f>
        <v>1</v>
      </c>
      <c r="AN2011" t="str">
        <f>IF(Table1[[#This Row],[Income]]&gt;=70000,"HIGH INCOME","LOW INCOME")</f>
        <v>LOW INCOME</v>
      </c>
      <c r="AO2011" s="1" t="str">
        <f>IF(Table1[[#This Row],[MNT_TOTAL]]&gt;=900,"HIGH VALUE","LOW VALUE")</f>
        <v>LOW VALUE</v>
      </c>
      <c r="AP20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1" s="1"/>
      <c r="AR2011" s="1"/>
    </row>
    <row r="2012" spans="1:44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43</v>
      </c>
      <c r="X2012">
        <v>2792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1048</v>
      </c>
      <c r="AJ2012">
        <v>987</v>
      </c>
      <c r="AK2012">
        <v>0</v>
      </c>
      <c r="AL2012">
        <f t="shared" si="31"/>
        <v>1109</v>
      </c>
      <c r="AM2012">
        <f>IF(OR(Table1[[#This Row],[marital_Married]]=1,Table1[[#This Row],[marital_Together]]=1),1,0)</f>
        <v>1</v>
      </c>
      <c r="AN2012" t="str">
        <f>IF(Table1[[#This Row],[Income]]&gt;=70000,"HIGH INCOME","LOW INCOME")</f>
        <v>HIGH INCOME</v>
      </c>
      <c r="AO2012" s="1" t="str">
        <f>IF(Table1[[#This Row],[MNT_TOTAL]]&gt;=900,"HIGH VALUE","LOW VALUE")</f>
        <v>HIGH VALUE</v>
      </c>
      <c r="AP20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12" s="1"/>
      <c r="AR2012" s="1"/>
    </row>
    <row r="2013" spans="1:44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69</v>
      </c>
      <c r="X2013">
        <v>2552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615</v>
      </c>
      <c r="AJ2013">
        <v>591</v>
      </c>
      <c r="AK2013">
        <v>0</v>
      </c>
      <c r="AL2013">
        <f t="shared" si="31"/>
        <v>639</v>
      </c>
      <c r="AM2013">
        <f>IF(OR(Table1[[#This Row],[marital_Married]]=1,Table1[[#This Row],[marital_Together]]=1),1,0)</f>
        <v>0</v>
      </c>
      <c r="AN2013" t="str">
        <f>IF(Table1[[#This Row],[Income]]&gt;=70000,"HIGH INCOME","LOW INCOME")</f>
        <v>LOW INCOME</v>
      </c>
      <c r="AO2013" s="1" t="str">
        <f>IF(Table1[[#This Row],[MNT_TOTAL]]&gt;=900,"HIGH VALUE","LOW VALUE")</f>
        <v>LOW VALUE</v>
      </c>
      <c r="AP20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13" s="1"/>
      <c r="AR2013" s="1"/>
    </row>
    <row r="2014" spans="1:44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36</v>
      </c>
      <c r="X2014">
        <v>2617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67</v>
      </c>
      <c r="AJ2014">
        <v>55</v>
      </c>
      <c r="AK2014">
        <v>0</v>
      </c>
      <c r="AL2014">
        <f t="shared" si="31"/>
        <v>79</v>
      </c>
      <c r="AM2014">
        <f>IF(OR(Table1[[#This Row],[marital_Married]]=1,Table1[[#This Row],[marital_Together]]=1),1,0)</f>
        <v>1</v>
      </c>
      <c r="AN2014" t="str">
        <f>IF(Table1[[#This Row],[Income]]&gt;=70000,"HIGH INCOME","LOW INCOME")</f>
        <v>LOW INCOME</v>
      </c>
      <c r="AO2014" s="1" t="str">
        <f>IF(Table1[[#This Row],[MNT_TOTAL]]&gt;=900,"HIGH VALUE","LOW VALUE")</f>
        <v>LOW VALUE</v>
      </c>
      <c r="AP20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4" s="1"/>
      <c r="AR2014" s="1"/>
    </row>
    <row r="2015" spans="1:44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38</v>
      </c>
      <c r="X2015">
        <v>2665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1587</v>
      </c>
      <c r="AJ2015">
        <v>1509</v>
      </c>
      <c r="AK2015">
        <v>1</v>
      </c>
      <c r="AL2015">
        <f t="shared" si="31"/>
        <v>1665</v>
      </c>
      <c r="AM2015">
        <f>IF(OR(Table1[[#This Row],[marital_Married]]=1,Table1[[#This Row],[marital_Together]]=1),1,0)</f>
        <v>1</v>
      </c>
      <c r="AN2015" t="str">
        <f>IF(Table1[[#This Row],[Income]]&gt;=70000,"HIGH INCOME","LOW INCOME")</f>
        <v>LOW INCOME</v>
      </c>
      <c r="AO2015" s="1" t="str">
        <f>IF(Table1[[#This Row],[MNT_TOTAL]]&gt;=900,"HIGH VALUE","LOW VALUE")</f>
        <v>HIGH VALUE</v>
      </c>
      <c r="AP20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15" s="1"/>
      <c r="AR2015" s="1"/>
    </row>
    <row r="2016" spans="1:44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29</v>
      </c>
      <c r="X2016">
        <v>2582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543</v>
      </c>
      <c r="AJ2016">
        <v>394</v>
      </c>
      <c r="AK2016">
        <v>0</v>
      </c>
      <c r="AL2016">
        <f t="shared" si="31"/>
        <v>692</v>
      </c>
      <c r="AM2016">
        <f>IF(OR(Table1[[#This Row],[marital_Married]]=1,Table1[[#This Row],[marital_Together]]=1),1,0)</f>
        <v>0</v>
      </c>
      <c r="AN2016" t="str">
        <f>IF(Table1[[#This Row],[Income]]&gt;=70000,"HIGH INCOME","LOW INCOME")</f>
        <v>LOW INCOME</v>
      </c>
      <c r="AO2016" s="1" t="str">
        <f>IF(Table1[[#This Row],[MNT_TOTAL]]&gt;=900,"HIGH VALUE","LOW VALUE")</f>
        <v>LOW VALUE</v>
      </c>
      <c r="AP20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16" s="1"/>
      <c r="AR2016" s="1"/>
    </row>
    <row r="2017" spans="1:44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50</v>
      </c>
      <c r="X2017">
        <v>2801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1290</v>
      </c>
      <c r="AJ2017">
        <v>1188</v>
      </c>
      <c r="AK2017">
        <v>0</v>
      </c>
      <c r="AL2017">
        <f t="shared" si="31"/>
        <v>1392</v>
      </c>
      <c r="AM2017">
        <f>IF(OR(Table1[[#This Row],[marital_Married]]=1,Table1[[#This Row],[marital_Together]]=1),1,0)</f>
        <v>0</v>
      </c>
      <c r="AN2017" t="str">
        <f>IF(Table1[[#This Row],[Income]]&gt;=70000,"HIGH INCOME","LOW INCOME")</f>
        <v>HIGH INCOME</v>
      </c>
      <c r="AO2017" s="1" t="str">
        <f>IF(Table1[[#This Row],[MNT_TOTAL]]&gt;=900,"HIGH VALUE","LOW VALUE")</f>
        <v>HIGH VALUE</v>
      </c>
      <c r="AP20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17" s="1"/>
      <c r="AR2017" s="1"/>
    </row>
    <row r="2018" spans="1:44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39</v>
      </c>
      <c r="X2018">
        <v>2371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42</v>
      </c>
      <c r="AJ2018">
        <v>40</v>
      </c>
      <c r="AK2018">
        <v>0</v>
      </c>
      <c r="AL2018">
        <f t="shared" si="31"/>
        <v>44</v>
      </c>
      <c r="AM2018">
        <f>IF(OR(Table1[[#This Row],[marital_Married]]=1,Table1[[#This Row],[marital_Together]]=1),1,0)</f>
        <v>1</v>
      </c>
      <c r="AN2018" t="str">
        <f>IF(Table1[[#This Row],[Income]]&gt;=70000,"HIGH INCOME","LOW INCOME")</f>
        <v>LOW INCOME</v>
      </c>
      <c r="AO2018" s="1" t="str">
        <f>IF(Table1[[#This Row],[MNT_TOTAL]]&gt;=900,"HIGH VALUE","LOW VALUE")</f>
        <v>LOW VALUE</v>
      </c>
      <c r="AP20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8" s="1"/>
      <c r="AR2018" s="1"/>
    </row>
    <row r="2019" spans="1:44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41</v>
      </c>
      <c r="X2019">
        <v>2369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47</v>
      </c>
      <c r="AJ2019">
        <v>44</v>
      </c>
      <c r="AK2019">
        <v>0</v>
      </c>
      <c r="AL2019">
        <f t="shared" si="31"/>
        <v>50</v>
      </c>
      <c r="AM2019">
        <f>IF(OR(Table1[[#This Row],[marital_Married]]=1,Table1[[#This Row],[marital_Together]]=1),1,0)</f>
        <v>1</v>
      </c>
      <c r="AN2019" t="str">
        <f>IF(Table1[[#This Row],[Income]]&gt;=70000,"HIGH INCOME","LOW INCOME")</f>
        <v>LOW INCOME</v>
      </c>
      <c r="AO2019" s="1" t="str">
        <f>IF(Table1[[#This Row],[MNT_TOTAL]]&gt;=900,"HIGH VALUE","LOW VALUE")</f>
        <v>LOW VALUE</v>
      </c>
      <c r="AP20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19" s="1"/>
      <c r="AR2019" s="1"/>
    </row>
    <row r="2020" spans="1:44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49</v>
      </c>
      <c r="X2020">
        <v>2815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351</v>
      </c>
      <c r="AJ2020">
        <v>235</v>
      </c>
      <c r="AK2020">
        <v>0</v>
      </c>
      <c r="AL2020">
        <f t="shared" si="31"/>
        <v>467</v>
      </c>
      <c r="AM2020">
        <f>IF(OR(Table1[[#This Row],[marital_Married]]=1,Table1[[#This Row],[marital_Together]]=1),1,0)</f>
        <v>1</v>
      </c>
      <c r="AN2020" t="str">
        <f>IF(Table1[[#This Row],[Income]]&gt;=70000,"HIGH INCOME","LOW INCOME")</f>
        <v>LOW INCOME</v>
      </c>
      <c r="AO2020" s="1" t="str">
        <f>IF(Table1[[#This Row],[MNT_TOTAL]]&gt;=900,"HIGH VALUE","LOW VALUE")</f>
        <v>LOW VALUE</v>
      </c>
      <c r="AP20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20" s="1"/>
      <c r="AR2020" s="1"/>
    </row>
    <row r="2021" spans="1:44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50</v>
      </c>
      <c r="X2021">
        <v>2370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180</v>
      </c>
      <c r="AJ2021">
        <v>137</v>
      </c>
      <c r="AK2021">
        <v>0</v>
      </c>
      <c r="AL2021">
        <f t="shared" si="31"/>
        <v>223</v>
      </c>
      <c r="AM2021">
        <f>IF(OR(Table1[[#This Row],[marital_Married]]=1,Table1[[#This Row],[marital_Together]]=1),1,0)</f>
        <v>0</v>
      </c>
      <c r="AN2021" t="str">
        <f>IF(Table1[[#This Row],[Income]]&gt;=70000,"HIGH INCOME","LOW INCOME")</f>
        <v>LOW INCOME</v>
      </c>
      <c r="AO2021" s="1" t="str">
        <f>IF(Table1[[#This Row],[MNT_TOTAL]]&gt;=900,"HIGH VALUE","LOW VALUE")</f>
        <v>LOW VALUE</v>
      </c>
      <c r="AP20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21" s="1"/>
      <c r="AR2021" s="1"/>
    </row>
    <row r="2022" spans="1:44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61</v>
      </c>
      <c r="X2022">
        <v>2179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151</v>
      </c>
      <c r="AJ2022">
        <v>144</v>
      </c>
      <c r="AK2022">
        <v>0</v>
      </c>
      <c r="AL2022">
        <f t="shared" si="31"/>
        <v>158</v>
      </c>
      <c r="AM2022">
        <f>IF(OR(Table1[[#This Row],[marital_Married]]=1,Table1[[#This Row],[marital_Together]]=1),1,0)</f>
        <v>1</v>
      </c>
      <c r="AN2022" t="str">
        <f>IF(Table1[[#This Row],[Income]]&gt;=70000,"HIGH INCOME","LOW INCOME")</f>
        <v>LOW INCOME</v>
      </c>
      <c r="AO2022" s="1" t="str">
        <f>IF(Table1[[#This Row],[MNT_TOTAL]]&gt;=900,"HIGH VALUE","LOW VALUE")</f>
        <v>LOW VALUE</v>
      </c>
      <c r="AP20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22" s="1"/>
      <c r="AR2022" s="1"/>
    </row>
    <row r="2023" spans="1:44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47</v>
      </c>
      <c r="X2023">
        <v>2450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1177</v>
      </c>
      <c r="AJ2023">
        <v>1143</v>
      </c>
      <c r="AK2023">
        <v>2</v>
      </c>
      <c r="AL2023">
        <f t="shared" si="31"/>
        <v>1211</v>
      </c>
      <c r="AM2023">
        <f>IF(OR(Table1[[#This Row],[marital_Married]]=1,Table1[[#This Row],[marital_Together]]=1),1,0)</f>
        <v>1</v>
      </c>
      <c r="AN2023" t="str">
        <f>IF(Table1[[#This Row],[Income]]&gt;=70000,"HIGH INCOME","LOW INCOME")</f>
        <v>LOW INCOME</v>
      </c>
      <c r="AO2023" s="1" t="str">
        <f>IF(Table1[[#This Row],[MNT_TOTAL]]&gt;=900,"HIGH VALUE","LOW VALUE")</f>
        <v>HIGH VALUE</v>
      </c>
      <c r="AP20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23" s="1"/>
      <c r="AR2023" s="1"/>
    </row>
    <row r="2024" spans="1:44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50</v>
      </c>
      <c r="X2024">
        <v>2840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1517</v>
      </c>
      <c r="AJ2024">
        <v>1459</v>
      </c>
      <c r="AK2024">
        <v>0</v>
      </c>
      <c r="AL2024">
        <f t="shared" si="31"/>
        <v>1575</v>
      </c>
      <c r="AM2024">
        <f>IF(OR(Table1[[#This Row],[marital_Married]]=1,Table1[[#This Row],[marital_Together]]=1),1,0)</f>
        <v>0</v>
      </c>
      <c r="AN2024" t="str">
        <f>IF(Table1[[#This Row],[Income]]&gt;=70000,"HIGH INCOME","LOW INCOME")</f>
        <v>HIGH INCOME</v>
      </c>
      <c r="AO2024" s="1" t="str">
        <f>IF(Table1[[#This Row],[MNT_TOTAL]]&gt;=900,"HIGH VALUE","LOW VALUE")</f>
        <v>HIGH VALUE</v>
      </c>
      <c r="AP20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24" s="1"/>
      <c r="AR2024" s="1"/>
    </row>
    <row r="2025" spans="1:44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73</v>
      </c>
      <c r="X2025">
        <v>2343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1182</v>
      </c>
      <c r="AJ2025">
        <v>1156</v>
      </c>
      <c r="AK2025">
        <v>0</v>
      </c>
      <c r="AL2025">
        <f t="shared" si="31"/>
        <v>1208</v>
      </c>
      <c r="AM2025">
        <f>IF(OR(Table1[[#This Row],[marital_Married]]=1,Table1[[#This Row],[marital_Together]]=1),1,0)</f>
        <v>1</v>
      </c>
      <c r="AN2025" t="str">
        <f>IF(Table1[[#This Row],[Income]]&gt;=70000,"HIGH INCOME","LOW INCOME")</f>
        <v>HIGH INCOME</v>
      </c>
      <c r="AO2025" s="1" t="str">
        <f>IF(Table1[[#This Row],[MNT_TOTAL]]&gt;=900,"HIGH VALUE","LOW VALUE")</f>
        <v>HIGH VALUE</v>
      </c>
      <c r="AP20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25" s="1"/>
      <c r="AR2025" s="1"/>
    </row>
    <row r="2026" spans="1:44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69</v>
      </c>
      <c r="X2026">
        <v>2636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38</v>
      </c>
      <c r="AJ2026">
        <v>33</v>
      </c>
      <c r="AK2026">
        <v>0</v>
      </c>
      <c r="AL2026">
        <f t="shared" si="31"/>
        <v>43</v>
      </c>
      <c r="AM2026">
        <f>IF(OR(Table1[[#This Row],[marital_Married]]=1,Table1[[#This Row],[marital_Together]]=1),1,0)</f>
        <v>1</v>
      </c>
      <c r="AN2026" t="str">
        <f>IF(Table1[[#This Row],[Income]]&gt;=70000,"HIGH INCOME","LOW INCOME")</f>
        <v>LOW INCOME</v>
      </c>
      <c r="AO2026" s="1" t="str">
        <f>IF(Table1[[#This Row],[MNT_TOTAL]]&gt;=900,"HIGH VALUE","LOW VALUE")</f>
        <v>LOW VALUE</v>
      </c>
      <c r="AP20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26" s="1"/>
      <c r="AR2026" s="1"/>
    </row>
    <row r="2027" spans="1:44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45</v>
      </c>
      <c r="X2027">
        <v>2439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432</v>
      </c>
      <c r="AJ2027">
        <v>337</v>
      </c>
      <c r="AK2027">
        <v>1</v>
      </c>
      <c r="AL2027">
        <f t="shared" si="31"/>
        <v>527</v>
      </c>
      <c r="AM2027">
        <f>IF(OR(Table1[[#This Row],[marital_Married]]=1,Table1[[#This Row],[marital_Together]]=1),1,0)</f>
        <v>0</v>
      </c>
      <c r="AN2027" t="str">
        <f>IF(Table1[[#This Row],[Income]]&gt;=70000,"HIGH INCOME","LOW INCOME")</f>
        <v>LOW INCOME</v>
      </c>
      <c r="AO2027" s="1" t="str">
        <f>IF(Table1[[#This Row],[MNT_TOTAL]]&gt;=900,"HIGH VALUE","LOW VALUE")</f>
        <v>LOW VALUE</v>
      </c>
      <c r="AP20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27" s="1"/>
      <c r="AR2027" s="1"/>
    </row>
    <row r="2028" spans="1:44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61</v>
      </c>
      <c r="X2028">
        <v>2166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897</v>
      </c>
      <c r="AJ2028">
        <v>862</v>
      </c>
      <c r="AK2028">
        <v>0</v>
      </c>
      <c r="AL2028">
        <f t="shared" si="31"/>
        <v>932</v>
      </c>
      <c r="AM2028">
        <f>IF(OR(Table1[[#This Row],[marital_Married]]=1,Table1[[#This Row],[marital_Together]]=1),1,0)</f>
        <v>0</v>
      </c>
      <c r="AN2028" t="str">
        <f>IF(Table1[[#This Row],[Income]]&gt;=70000,"HIGH INCOME","LOW INCOME")</f>
        <v>HIGH INCOME</v>
      </c>
      <c r="AO2028" s="1" t="str">
        <f>IF(Table1[[#This Row],[MNT_TOTAL]]&gt;=900,"HIGH VALUE","LOW VALUE")</f>
        <v>HIGH VALUE</v>
      </c>
      <c r="AP20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28" s="1"/>
      <c r="AR2028" s="1"/>
    </row>
    <row r="2029" spans="1:44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65</v>
      </c>
      <c r="X2029">
        <v>2186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67</v>
      </c>
      <c r="AJ2029">
        <v>63</v>
      </c>
      <c r="AK2029">
        <v>0</v>
      </c>
      <c r="AL2029">
        <f t="shared" si="31"/>
        <v>71</v>
      </c>
      <c r="AM2029">
        <f>IF(OR(Table1[[#This Row],[marital_Married]]=1,Table1[[#This Row],[marital_Together]]=1),1,0)</f>
        <v>0</v>
      </c>
      <c r="AN2029" t="str">
        <f>IF(Table1[[#This Row],[Income]]&gt;=70000,"HIGH INCOME","LOW INCOME")</f>
        <v>LOW INCOME</v>
      </c>
      <c r="AO2029" s="1" t="str">
        <f>IF(Table1[[#This Row],[MNT_TOTAL]]&gt;=900,"HIGH VALUE","LOW VALUE")</f>
        <v>LOW VALUE</v>
      </c>
      <c r="AP20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29" s="1"/>
      <c r="AR2029" s="1"/>
    </row>
    <row r="2030" spans="1:44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67</v>
      </c>
      <c r="X2030">
        <v>2162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39</v>
      </c>
      <c r="AJ2030">
        <v>24</v>
      </c>
      <c r="AK2030">
        <v>0</v>
      </c>
      <c r="AL2030">
        <f t="shared" si="31"/>
        <v>54</v>
      </c>
      <c r="AM2030">
        <f>IF(OR(Table1[[#This Row],[marital_Married]]=1,Table1[[#This Row],[marital_Together]]=1),1,0)</f>
        <v>1</v>
      </c>
      <c r="AN2030" t="str">
        <f>IF(Table1[[#This Row],[Income]]&gt;=70000,"HIGH INCOME","LOW INCOME")</f>
        <v>LOW INCOME</v>
      </c>
      <c r="AO2030" s="1" t="str">
        <f>IF(Table1[[#This Row],[MNT_TOTAL]]&gt;=900,"HIGH VALUE","LOW VALUE")</f>
        <v>LOW VALUE</v>
      </c>
      <c r="AP20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30" s="1"/>
      <c r="AR2030" s="1"/>
    </row>
    <row r="2031" spans="1:44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55</v>
      </c>
      <c r="X2031">
        <v>2626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90</v>
      </c>
      <c r="AJ2031">
        <v>51</v>
      </c>
      <c r="AK2031">
        <v>0</v>
      </c>
      <c r="AL2031">
        <f t="shared" si="31"/>
        <v>129</v>
      </c>
      <c r="AM2031">
        <f>IF(OR(Table1[[#This Row],[marital_Married]]=1,Table1[[#This Row],[marital_Together]]=1),1,0)</f>
        <v>0</v>
      </c>
      <c r="AN2031" t="str">
        <f>IF(Table1[[#This Row],[Income]]&gt;=70000,"HIGH INCOME","LOW INCOME")</f>
        <v>LOW INCOME</v>
      </c>
      <c r="AO2031" s="1" t="str">
        <f>IF(Table1[[#This Row],[MNT_TOTAL]]&gt;=900,"HIGH VALUE","LOW VALUE")</f>
        <v>LOW VALUE</v>
      </c>
      <c r="AP20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31" s="1"/>
      <c r="AR2031" s="1"/>
    </row>
    <row r="2032" spans="1:44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47</v>
      </c>
      <c r="X2032">
        <v>2790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1584</v>
      </c>
      <c r="AJ2032">
        <v>1553</v>
      </c>
      <c r="AK2032">
        <v>0</v>
      </c>
      <c r="AL2032">
        <f t="shared" si="31"/>
        <v>1615</v>
      </c>
      <c r="AM2032">
        <f>IF(OR(Table1[[#This Row],[marital_Married]]=1,Table1[[#This Row],[marital_Together]]=1),1,0)</f>
        <v>0</v>
      </c>
      <c r="AN2032" t="str">
        <f>IF(Table1[[#This Row],[Income]]&gt;=70000,"HIGH INCOME","LOW INCOME")</f>
        <v>HIGH INCOME</v>
      </c>
      <c r="AO2032" s="1" t="str">
        <f>IF(Table1[[#This Row],[MNT_TOTAL]]&gt;=900,"HIGH VALUE","LOW VALUE")</f>
        <v>HIGH VALUE</v>
      </c>
      <c r="AP20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32" s="1"/>
      <c r="AR2032" s="1"/>
    </row>
    <row r="2033" spans="1:44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44</v>
      </c>
      <c r="X2033">
        <v>2502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</v>
      </c>
      <c r="AI2033">
        <v>901</v>
      </c>
      <c r="AJ2033">
        <v>768</v>
      </c>
      <c r="AK2033">
        <v>0</v>
      </c>
      <c r="AL2033">
        <f t="shared" si="31"/>
        <v>1034</v>
      </c>
      <c r="AM2033">
        <f>IF(OR(Table1[[#This Row],[marital_Married]]=1,Table1[[#This Row],[marital_Together]]=1),1,0)</f>
        <v>0</v>
      </c>
      <c r="AN2033" t="str">
        <f>IF(Table1[[#This Row],[Income]]&gt;=70000,"HIGH INCOME","LOW INCOME")</f>
        <v>HIGH INCOME</v>
      </c>
      <c r="AO2033" s="1" t="str">
        <f>IF(Table1[[#This Row],[MNT_TOTAL]]&gt;=900,"HIGH VALUE","LOW VALUE")</f>
        <v>HIGH VALUE</v>
      </c>
      <c r="AP20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33" s="1"/>
      <c r="AR2033" s="1"/>
    </row>
    <row r="2034" spans="1:44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70</v>
      </c>
      <c r="X2034">
        <v>2699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892</v>
      </c>
      <c r="AJ2034">
        <v>696</v>
      </c>
      <c r="AK2034">
        <v>0</v>
      </c>
      <c r="AL2034">
        <f t="shared" si="31"/>
        <v>1088</v>
      </c>
      <c r="AM2034">
        <f>IF(OR(Table1[[#This Row],[marital_Married]]=1,Table1[[#This Row],[marital_Together]]=1),1,0)</f>
        <v>1</v>
      </c>
      <c r="AN2034" t="str">
        <f>IF(Table1[[#This Row],[Income]]&gt;=70000,"HIGH INCOME","LOW INCOME")</f>
        <v>LOW INCOME</v>
      </c>
      <c r="AO2034" s="1" t="str">
        <f>IF(Table1[[#This Row],[MNT_TOTAL]]&gt;=900,"HIGH VALUE","LOW VALUE")</f>
        <v>HIGH VALUE</v>
      </c>
      <c r="AP20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34" s="1"/>
      <c r="AR2034" s="1"/>
    </row>
    <row r="2035" spans="1:44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51</v>
      </c>
      <c r="X2035">
        <v>2343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123</v>
      </c>
      <c r="AJ2035">
        <v>109</v>
      </c>
      <c r="AK2035">
        <v>0</v>
      </c>
      <c r="AL2035">
        <f t="shared" si="31"/>
        <v>137</v>
      </c>
      <c r="AM2035">
        <f>IF(OR(Table1[[#This Row],[marital_Married]]=1,Table1[[#This Row],[marital_Together]]=1),1,0)</f>
        <v>1</v>
      </c>
      <c r="AN2035" t="str">
        <f>IF(Table1[[#This Row],[Income]]&gt;=70000,"HIGH INCOME","LOW INCOME")</f>
        <v>LOW INCOME</v>
      </c>
      <c r="AO2035" s="1" t="str">
        <f>IF(Table1[[#This Row],[MNT_TOTAL]]&gt;=900,"HIGH VALUE","LOW VALUE")</f>
        <v>LOW VALUE</v>
      </c>
      <c r="AP20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35" s="1"/>
      <c r="AR2035" s="1"/>
    </row>
    <row r="2036" spans="1:44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38</v>
      </c>
      <c r="X2036">
        <v>2406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1114</v>
      </c>
      <c r="AJ2036">
        <v>984</v>
      </c>
      <c r="AK2036">
        <v>0</v>
      </c>
      <c r="AL2036">
        <f t="shared" si="31"/>
        <v>1244</v>
      </c>
      <c r="AM2036">
        <f>IF(OR(Table1[[#This Row],[marital_Married]]=1,Table1[[#This Row],[marital_Together]]=1),1,0)</f>
        <v>1</v>
      </c>
      <c r="AN2036" t="str">
        <f>IF(Table1[[#This Row],[Income]]&gt;=70000,"HIGH INCOME","LOW INCOME")</f>
        <v>HIGH INCOME</v>
      </c>
      <c r="AO2036" s="1" t="str">
        <f>IF(Table1[[#This Row],[MNT_TOTAL]]&gt;=900,"HIGH VALUE","LOW VALUE")</f>
        <v>HIGH VALUE</v>
      </c>
      <c r="AP20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36" s="1"/>
      <c r="AR2036" s="1"/>
    </row>
    <row r="2037" spans="1:44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42</v>
      </c>
      <c r="X2037">
        <v>2692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41</v>
      </c>
      <c r="AJ2037">
        <v>41</v>
      </c>
      <c r="AK2037">
        <v>0</v>
      </c>
      <c r="AL2037">
        <f t="shared" si="31"/>
        <v>41</v>
      </c>
      <c r="AM2037">
        <f>IF(OR(Table1[[#This Row],[marital_Married]]=1,Table1[[#This Row],[marital_Together]]=1),1,0)</f>
        <v>1</v>
      </c>
      <c r="AN2037" t="str">
        <f>IF(Table1[[#This Row],[Income]]&gt;=70000,"HIGH INCOME","LOW INCOME")</f>
        <v>LOW INCOME</v>
      </c>
      <c r="AO2037" s="1" t="str">
        <f>IF(Table1[[#This Row],[MNT_TOTAL]]&gt;=900,"HIGH VALUE","LOW VALUE")</f>
        <v>LOW VALUE</v>
      </c>
      <c r="AP20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37" s="1"/>
      <c r="AR2037" s="1"/>
    </row>
    <row r="2038" spans="1:44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46</v>
      </c>
      <c r="X2038">
        <v>2845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1163</v>
      </c>
      <c r="AJ2038">
        <v>1152</v>
      </c>
      <c r="AK2038">
        <v>0</v>
      </c>
      <c r="AL2038">
        <f t="shared" si="31"/>
        <v>1174</v>
      </c>
      <c r="AM2038">
        <f>IF(OR(Table1[[#This Row],[marital_Married]]=1,Table1[[#This Row],[marital_Together]]=1),1,0)</f>
        <v>1</v>
      </c>
      <c r="AN2038" t="str">
        <f>IF(Table1[[#This Row],[Income]]&gt;=70000,"HIGH INCOME","LOW INCOME")</f>
        <v>LOW INCOME</v>
      </c>
      <c r="AO2038" s="1" t="str">
        <f>IF(Table1[[#This Row],[MNT_TOTAL]]&gt;=900,"HIGH VALUE","LOW VALUE")</f>
        <v>HIGH VALUE</v>
      </c>
      <c r="AP20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38" s="1"/>
      <c r="AR2038" s="1"/>
    </row>
    <row r="2039" spans="1:44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69</v>
      </c>
      <c r="X2039">
        <v>2698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886</v>
      </c>
      <c r="AJ2039">
        <v>779</v>
      </c>
      <c r="AK2039">
        <v>0</v>
      </c>
      <c r="AL2039">
        <f t="shared" si="31"/>
        <v>993</v>
      </c>
      <c r="AM2039">
        <f>IF(OR(Table1[[#This Row],[marital_Married]]=1,Table1[[#This Row],[marital_Together]]=1),1,0)</f>
        <v>0</v>
      </c>
      <c r="AN2039" t="str">
        <f>IF(Table1[[#This Row],[Income]]&gt;=70000,"HIGH INCOME","LOW INCOME")</f>
        <v>LOW INCOME</v>
      </c>
      <c r="AO2039" s="1" t="str">
        <f>IF(Table1[[#This Row],[MNT_TOTAL]]&gt;=900,"HIGH VALUE","LOW VALUE")</f>
        <v>HIGH VALUE</v>
      </c>
      <c r="AP20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39" s="1"/>
      <c r="AR2039" s="1"/>
    </row>
    <row r="2040" spans="1:44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72</v>
      </c>
      <c r="X2040">
        <v>2455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93</v>
      </c>
      <c r="AJ2040">
        <v>86</v>
      </c>
      <c r="AK2040">
        <v>0</v>
      </c>
      <c r="AL2040">
        <f t="shared" si="31"/>
        <v>100</v>
      </c>
      <c r="AM2040">
        <f>IF(OR(Table1[[#This Row],[marital_Married]]=1,Table1[[#This Row],[marital_Together]]=1),1,0)</f>
        <v>1</v>
      </c>
      <c r="AN2040" t="str">
        <f>IF(Table1[[#This Row],[Income]]&gt;=70000,"HIGH INCOME","LOW INCOME")</f>
        <v>LOW INCOME</v>
      </c>
      <c r="AO2040" s="1" t="str">
        <f>IF(Table1[[#This Row],[MNT_TOTAL]]&gt;=900,"HIGH VALUE","LOW VALUE")</f>
        <v>LOW VALUE</v>
      </c>
      <c r="AP20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0" s="1"/>
      <c r="AR2040" s="1"/>
    </row>
    <row r="2041" spans="1:44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68</v>
      </c>
      <c r="X2041">
        <v>2767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1664</v>
      </c>
      <c r="AJ2041">
        <v>1648</v>
      </c>
      <c r="AK2041">
        <v>0</v>
      </c>
      <c r="AL2041">
        <f t="shared" si="31"/>
        <v>1680</v>
      </c>
      <c r="AM2041">
        <f>IF(OR(Table1[[#This Row],[marital_Married]]=1,Table1[[#This Row],[marital_Together]]=1),1,0)</f>
        <v>1</v>
      </c>
      <c r="AN2041" t="str">
        <f>IF(Table1[[#This Row],[Income]]&gt;=70000,"HIGH INCOME","LOW INCOME")</f>
        <v>HIGH INCOME</v>
      </c>
      <c r="AO2041" s="1" t="str">
        <f>IF(Table1[[#This Row],[MNT_TOTAL]]&gt;=900,"HIGH VALUE","LOW VALUE")</f>
        <v>HIGH VALUE</v>
      </c>
      <c r="AP20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41" s="1"/>
      <c r="AR2041" s="1"/>
    </row>
    <row r="2042" spans="1:44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36</v>
      </c>
      <c r="X2042">
        <v>2244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70</v>
      </c>
      <c r="AJ2042">
        <v>42</v>
      </c>
      <c r="AK2042">
        <v>0</v>
      </c>
      <c r="AL2042">
        <f t="shared" si="31"/>
        <v>98</v>
      </c>
      <c r="AM2042">
        <f>IF(OR(Table1[[#This Row],[marital_Married]]=1,Table1[[#This Row],[marital_Together]]=1),1,0)</f>
        <v>1</v>
      </c>
      <c r="AN2042" t="str">
        <f>IF(Table1[[#This Row],[Income]]&gt;=70000,"HIGH INCOME","LOW INCOME")</f>
        <v>LOW INCOME</v>
      </c>
      <c r="AO2042" s="1" t="str">
        <f>IF(Table1[[#This Row],[MNT_TOTAL]]&gt;=900,"HIGH VALUE","LOW VALUE")</f>
        <v>LOW VALUE</v>
      </c>
      <c r="AP20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2" s="1"/>
      <c r="AR2042" s="1"/>
    </row>
    <row r="2043" spans="1:44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41</v>
      </c>
      <c r="X2043">
        <v>2412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37</v>
      </c>
      <c r="AJ2043">
        <v>26</v>
      </c>
      <c r="AK2043">
        <v>0</v>
      </c>
      <c r="AL2043">
        <f t="shared" si="31"/>
        <v>48</v>
      </c>
      <c r="AM2043">
        <f>IF(OR(Table1[[#This Row],[marital_Married]]=1,Table1[[#This Row],[marital_Together]]=1),1,0)</f>
        <v>1</v>
      </c>
      <c r="AN2043" t="str">
        <f>IF(Table1[[#This Row],[Income]]&gt;=70000,"HIGH INCOME","LOW INCOME")</f>
        <v>LOW INCOME</v>
      </c>
      <c r="AO2043" s="1" t="str">
        <f>IF(Table1[[#This Row],[MNT_TOTAL]]&gt;=900,"HIGH VALUE","LOW VALUE")</f>
        <v>LOW VALUE</v>
      </c>
      <c r="AP20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3" s="1"/>
      <c r="AR2043" s="1"/>
    </row>
    <row r="2044" spans="1:44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71</v>
      </c>
      <c r="X2044">
        <v>2487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495</v>
      </c>
      <c r="AJ2044">
        <v>471</v>
      </c>
      <c r="AK2044">
        <v>0</v>
      </c>
      <c r="AL2044">
        <f t="shared" si="31"/>
        <v>519</v>
      </c>
      <c r="AM2044">
        <f>IF(OR(Table1[[#This Row],[marital_Married]]=1,Table1[[#This Row],[marital_Together]]=1),1,0)</f>
        <v>1</v>
      </c>
      <c r="AN2044" t="str">
        <f>IF(Table1[[#This Row],[Income]]&gt;=70000,"HIGH INCOME","LOW INCOME")</f>
        <v>LOW INCOME</v>
      </c>
      <c r="AO2044" s="1" t="str">
        <f>IF(Table1[[#This Row],[MNT_TOTAL]]&gt;=900,"HIGH VALUE","LOW VALUE")</f>
        <v>LOW VALUE</v>
      </c>
      <c r="AP20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4" s="1"/>
      <c r="AR2044" s="1"/>
    </row>
    <row r="2045" spans="1:44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64</v>
      </c>
      <c r="X2045">
        <v>2345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682</v>
      </c>
      <c r="AJ2045">
        <v>649</v>
      </c>
      <c r="AK2045">
        <v>0</v>
      </c>
      <c r="AL2045">
        <f t="shared" si="31"/>
        <v>715</v>
      </c>
      <c r="AM2045">
        <f>IF(OR(Table1[[#This Row],[marital_Married]]=1,Table1[[#This Row],[marital_Together]]=1),1,0)</f>
        <v>1</v>
      </c>
      <c r="AN2045" t="str">
        <f>IF(Table1[[#This Row],[Income]]&gt;=70000,"HIGH INCOME","LOW INCOME")</f>
        <v>HIGH INCOME</v>
      </c>
      <c r="AO2045" s="1" t="str">
        <f>IF(Table1[[#This Row],[MNT_TOTAL]]&gt;=900,"HIGH VALUE","LOW VALUE")</f>
        <v>LOW VALUE</v>
      </c>
      <c r="AP20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45" s="1"/>
      <c r="AR2045" s="1"/>
    </row>
    <row r="2046" spans="1:44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51</v>
      </c>
      <c r="X2046">
        <v>2446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28</v>
      </c>
      <c r="AJ2046">
        <v>19</v>
      </c>
      <c r="AK2046">
        <v>0</v>
      </c>
      <c r="AL2046">
        <f t="shared" si="31"/>
        <v>37</v>
      </c>
      <c r="AM2046">
        <f>IF(OR(Table1[[#This Row],[marital_Married]]=1,Table1[[#This Row],[marital_Together]]=1),1,0)</f>
        <v>1</v>
      </c>
      <c r="AN2046" t="str">
        <f>IF(Table1[[#This Row],[Income]]&gt;=70000,"HIGH INCOME","LOW INCOME")</f>
        <v>LOW INCOME</v>
      </c>
      <c r="AO2046" s="1" t="str">
        <f>IF(Table1[[#This Row],[MNT_TOTAL]]&gt;=900,"HIGH VALUE","LOW VALUE")</f>
        <v>LOW VALUE</v>
      </c>
      <c r="AP20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46" s="1"/>
      <c r="AR2046" s="1"/>
    </row>
    <row r="2047" spans="1:44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33</v>
      </c>
      <c r="X2047">
        <v>2694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618</v>
      </c>
      <c r="AJ2047">
        <v>583</v>
      </c>
      <c r="AK2047">
        <v>0</v>
      </c>
      <c r="AL2047">
        <f t="shared" si="31"/>
        <v>653</v>
      </c>
      <c r="AM2047">
        <f>IF(OR(Table1[[#This Row],[marital_Married]]=1,Table1[[#This Row],[marital_Together]]=1),1,0)</f>
        <v>0</v>
      </c>
      <c r="AN2047" t="str">
        <f>IF(Table1[[#This Row],[Income]]&gt;=70000,"HIGH INCOME","LOW INCOME")</f>
        <v>LOW INCOME</v>
      </c>
      <c r="AO2047" s="1" t="str">
        <f>IF(Table1[[#This Row],[MNT_TOTAL]]&gt;=900,"HIGH VALUE","LOW VALUE")</f>
        <v>LOW VALUE</v>
      </c>
      <c r="AP20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47" s="1"/>
      <c r="AR2047" s="1"/>
    </row>
    <row r="2048" spans="1:44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37</v>
      </c>
      <c r="X2048">
        <v>2516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1362</v>
      </c>
      <c r="AJ2048">
        <v>1269</v>
      </c>
      <c r="AK2048">
        <v>0</v>
      </c>
      <c r="AL2048">
        <f t="shared" si="31"/>
        <v>1455</v>
      </c>
      <c r="AM2048">
        <f>IF(OR(Table1[[#This Row],[marital_Married]]=1,Table1[[#This Row],[marital_Together]]=1),1,0)</f>
        <v>1</v>
      </c>
      <c r="AN2048" t="str">
        <f>IF(Table1[[#This Row],[Income]]&gt;=70000,"HIGH INCOME","LOW INCOME")</f>
        <v>LOW INCOME</v>
      </c>
      <c r="AO2048" s="1" t="str">
        <f>IF(Table1[[#This Row],[MNT_TOTAL]]&gt;=900,"HIGH VALUE","LOW VALUE")</f>
        <v>HIGH VALUE</v>
      </c>
      <c r="AP20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48" s="1"/>
      <c r="AR2048" s="1"/>
    </row>
    <row r="2049" spans="1:44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50</v>
      </c>
      <c r="X2049">
        <v>2301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548</v>
      </c>
      <c r="AJ2049">
        <v>494</v>
      </c>
      <c r="AK2049">
        <v>0</v>
      </c>
      <c r="AL2049">
        <f t="shared" si="31"/>
        <v>602</v>
      </c>
      <c r="AM2049">
        <f>IF(OR(Table1[[#This Row],[marital_Married]]=1,Table1[[#This Row],[marital_Together]]=1),1,0)</f>
        <v>0</v>
      </c>
      <c r="AN2049" t="str">
        <f>IF(Table1[[#This Row],[Income]]&gt;=70000,"HIGH INCOME","LOW INCOME")</f>
        <v>LOW INCOME</v>
      </c>
      <c r="AO2049" s="1" t="str">
        <f>IF(Table1[[#This Row],[MNT_TOTAL]]&gt;=900,"HIGH VALUE","LOW VALUE")</f>
        <v>LOW VALUE</v>
      </c>
      <c r="AP20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49" s="1"/>
      <c r="AR2049" s="1"/>
    </row>
    <row r="2050" spans="1:44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43</v>
      </c>
      <c r="X2050">
        <v>2518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18</v>
      </c>
      <c r="AJ2050">
        <v>10</v>
      </c>
      <c r="AK2050">
        <v>0</v>
      </c>
      <c r="AL2050">
        <f t="shared" ref="AL2050:AL2113" si="32">SUM(E2050:J2050)</f>
        <v>26</v>
      </c>
      <c r="AM2050">
        <f>IF(OR(Table1[[#This Row],[marital_Married]]=1,Table1[[#This Row],[marital_Together]]=1),1,0)</f>
        <v>1</v>
      </c>
      <c r="AN2050" t="str">
        <f>IF(Table1[[#This Row],[Income]]&gt;=70000,"HIGH INCOME","LOW INCOME")</f>
        <v>LOW INCOME</v>
      </c>
      <c r="AO2050" s="1" t="str">
        <f>IF(Table1[[#This Row],[MNT_TOTAL]]&gt;=900,"HIGH VALUE","LOW VALUE")</f>
        <v>LOW VALUE</v>
      </c>
      <c r="AP20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50" s="1"/>
      <c r="AR2050" s="1"/>
    </row>
    <row r="2051" spans="1:44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60</v>
      </c>
      <c r="X2051">
        <v>2253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71</v>
      </c>
      <c r="AJ2051">
        <v>40</v>
      </c>
      <c r="AK2051">
        <v>0</v>
      </c>
      <c r="AL2051">
        <f t="shared" si="32"/>
        <v>102</v>
      </c>
      <c r="AM2051">
        <f>IF(OR(Table1[[#This Row],[marital_Married]]=1,Table1[[#This Row],[marital_Together]]=1),1,0)</f>
        <v>0</v>
      </c>
      <c r="AN2051" t="str">
        <f>IF(Table1[[#This Row],[Income]]&gt;=70000,"HIGH INCOME","LOW INCOME")</f>
        <v>LOW INCOME</v>
      </c>
      <c r="AO2051" s="1" t="str">
        <f>IF(Table1[[#This Row],[MNT_TOTAL]]&gt;=900,"HIGH VALUE","LOW VALUE")</f>
        <v>LOW VALUE</v>
      </c>
      <c r="AP20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51" s="1"/>
      <c r="AR2051" s="1"/>
    </row>
    <row r="2052" spans="1:44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47</v>
      </c>
      <c r="X2052">
        <v>2831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127</v>
      </c>
      <c r="AJ2052">
        <v>78</v>
      </c>
      <c r="AK2052">
        <v>0</v>
      </c>
      <c r="AL2052">
        <f t="shared" si="32"/>
        <v>176</v>
      </c>
      <c r="AM2052">
        <f>IF(OR(Table1[[#This Row],[marital_Married]]=1,Table1[[#This Row],[marital_Together]]=1),1,0)</f>
        <v>1</v>
      </c>
      <c r="AN2052" t="str">
        <f>IF(Table1[[#This Row],[Income]]&gt;=70000,"HIGH INCOME","LOW INCOME")</f>
        <v>LOW INCOME</v>
      </c>
      <c r="AO2052" s="1" t="str">
        <f>IF(Table1[[#This Row],[MNT_TOTAL]]&gt;=900,"HIGH VALUE","LOW VALUE")</f>
        <v>LOW VALUE</v>
      </c>
      <c r="AP20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52" s="1"/>
      <c r="AR2052" s="1"/>
    </row>
    <row r="2053" spans="1:44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60</v>
      </c>
      <c r="X2053">
        <v>2758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341</v>
      </c>
      <c r="AJ2053">
        <v>249</v>
      </c>
      <c r="AK2053">
        <v>0</v>
      </c>
      <c r="AL2053">
        <f t="shared" si="32"/>
        <v>433</v>
      </c>
      <c r="AM2053">
        <f>IF(OR(Table1[[#This Row],[marital_Married]]=1,Table1[[#This Row],[marital_Together]]=1),1,0)</f>
        <v>1</v>
      </c>
      <c r="AN2053" t="str">
        <f>IF(Table1[[#This Row],[Income]]&gt;=70000,"HIGH INCOME","LOW INCOME")</f>
        <v>LOW INCOME</v>
      </c>
      <c r="AO2053" s="1" t="str">
        <f>IF(Table1[[#This Row],[MNT_TOTAL]]&gt;=900,"HIGH VALUE","LOW VALUE")</f>
        <v>LOW VALUE</v>
      </c>
      <c r="AP20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53" s="1"/>
      <c r="AR2053" s="1"/>
    </row>
    <row r="2054" spans="1:44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32</v>
      </c>
      <c r="X2054">
        <v>2691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1277</v>
      </c>
      <c r="AJ2054">
        <v>1188</v>
      </c>
      <c r="AK2054">
        <v>0</v>
      </c>
      <c r="AL2054">
        <f t="shared" si="32"/>
        <v>1366</v>
      </c>
      <c r="AM2054">
        <f>IF(OR(Table1[[#This Row],[marital_Married]]=1,Table1[[#This Row],[marital_Together]]=1),1,0)</f>
        <v>1</v>
      </c>
      <c r="AN2054" t="str">
        <f>IF(Table1[[#This Row],[Income]]&gt;=70000,"HIGH INCOME","LOW INCOME")</f>
        <v>LOW INCOME</v>
      </c>
      <c r="AO2054" s="1" t="str">
        <f>IF(Table1[[#This Row],[MNT_TOTAL]]&gt;=900,"HIGH VALUE","LOW VALUE")</f>
        <v>HIGH VALUE</v>
      </c>
      <c r="AP20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54" s="1"/>
      <c r="AR2054" s="1"/>
    </row>
    <row r="2055" spans="1:44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51</v>
      </c>
      <c r="X2055">
        <v>2657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964</v>
      </c>
      <c r="AJ2055">
        <v>927</v>
      </c>
      <c r="AK2055">
        <v>0</v>
      </c>
      <c r="AL2055">
        <f t="shared" si="32"/>
        <v>1001</v>
      </c>
      <c r="AM2055">
        <f>IF(OR(Table1[[#This Row],[marital_Married]]=1,Table1[[#This Row],[marital_Together]]=1),1,0)</f>
        <v>1</v>
      </c>
      <c r="AN2055" t="str">
        <f>IF(Table1[[#This Row],[Income]]&gt;=70000,"HIGH INCOME","LOW INCOME")</f>
        <v>LOW INCOME</v>
      </c>
      <c r="AO2055" s="1" t="str">
        <f>IF(Table1[[#This Row],[MNT_TOTAL]]&gt;=900,"HIGH VALUE","LOW VALUE")</f>
        <v>HIGH VALUE</v>
      </c>
      <c r="AP20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55" s="1"/>
      <c r="AR2055" s="1"/>
    </row>
    <row r="2056" spans="1:44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28</v>
      </c>
      <c r="X2056">
        <v>2720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912</v>
      </c>
      <c r="AJ2056">
        <v>863</v>
      </c>
      <c r="AK2056">
        <v>0</v>
      </c>
      <c r="AL2056">
        <f t="shared" si="32"/>
        <v>961</v>
      </c>
      <c r="AM2056">
        <f>IF(OR(Table1[[#This Row],[marital_Married]]=1,Table1[[#This Row],[marital_Together]]=1),1,0)</f>
        <v>1</v>
      </c>
      <c r="AN2056" t="str">
        <f>IF(Table1[[#This Row],[Income]]&gt;=70000,"HIGH INCOME","LOW INCOME")</f>
        <v>HIGH INCOME</v>
      </c>
      <c r="AO2056" s="1" t="str">
        <f>IF(Table1[[#This Row],[MNT_TOTAL]]&gt;=900,"HIGH VALUE","LOW VALUE")</f>
        <v>HIGH VALUE</v>
      </c>
      <c r="AP20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56" s="1"/>
      <c r="AR2056" s="1"/>
    </row>
    <row r="2057" spans="1:44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61</v>
      </c>
      <c r="X2057">
        <v>2249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1475</v>
      </c>
      <c r="AJ2057">
        <v>1432</v>
      </c>
      <c r="AK2057">
        <v>1</v>
      </c>
      <c r="AL2057">
        <f t="shared" si="32"/>
        <v>1518</v>
      </c>
      <c r="AM2057">
        <f>IF(OR(Table1[[#This Row],[marital_Married]]=1,Table1[[#This Row],[marital_Together]]=1),1,0)</f>
        <v>1</v>
      </c>
      <c r="AN2057" t="str">
        <f>IF(Table1[[#This Row],[Income]]&gt;=70000,"HIGH INCOME","LOW INCOME")</f>
        <v>HIGH INCOME</v>
      </c>
      <c r="AO2057" s="1" t="str">
        <f>IF(Table1[[#This Row],[MNT_TOTAL]]&gt;=900,"HIGH VALUE","LOW VALUE")</f>
        <v>HIGH VALUE</v>
      </c>
      <c r="AP20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57" s="1"/>
      <c r="AR2057" s="1"/>
    </row>
    <row r="2058" spans="1:44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40</v>
      </c>
      <c r="X2058">
        <v>2427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44</v>
      </c>
      <c r="AJ2058">
        <v>32</v>
      </c>
      <c r="AK2058">
        <v>0</v>
      </c>
      <c r="AL2058">
        <f t="shared" si="32"/>
        <v>56</v>
      </c>
      <c r="AM2058">
        <f>IF(OR(Table1[[#This Row],[marital_Married]]=1,Table1[[#This Row],[marital_Together]]=1),1,0)</f>
        <v>0</v>
      </c>
      <c r="AN2058" t="str">
        <f>IF(Table1[[#This Row],[Income]]&gt;=70000,"HIGH INCOME","LOW INCOME")</f>
        <v>LOW INCOME</v>
      </c>
      <c r="AO2058" s="1" t="str">
        <f>IF(Table1[[#This Row],[MNT_TOTAL]]&gt;=900,"HIGH VALUE","LOW VALUE")</f>
        <v>LOW VALUE</v>
      </c>
      <c r="AP20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58" s="1"/>
      <c r="AR2058" s="1"/>
    </row>
    <row r="2059" spans="1:44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49</v>
      </c>
      <c r="X2059">
        <v>2394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18</v>
      </c>
      <c r="AJ2059">
        <v>14</v>
      </c>
      <c r="AK2059">
        <v>0</v>
      </c>
      <c r="AL2059">
        <f t="shared" si="32"/>
        <v>22</v>
      </c>
      <c r="AM2059">
        <f>IF(OR(Table1[[#This Row],[marital_Married]]=1,Table1[[#This Row],[marital_Together]]=1),1,0)</f>
        <v>1</v>
      </c>
      <c r="AN2059" t="str">
        <f>IF(Table1[[#This Row],[Income]]&gt;=70000,"HIGH INCOME","LOW INCOME")</f>
        <v>LOW INCOME</v>
      </c>
      <c r="AO2059" s="1" t="str">
        <f>IF(Table1[[#This Row],[MNT_TOTAL]]&gt;=900,"HIGH VALUE","LOW VALUE")</f>
        <v>LOW VALUE</v>
      </c>
      <c r="AP20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59" s="1"/>
      <c r="AR2059" s="1"/>
    </row>
    <row r="2060" spans="1:44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46</v>
      </c>
      <c r="X2060">
        <v>2461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389</v>
      </c>
      <c r="AJ2060">
        <v>378</v>
      </c>
      <c r="AK2060">
        <v>0</v>
      </c>
      <c r="AL2060">
        <f t="shared" si="32"/>
        <v>400</v>
      </c>
      <c r="AM2060">
        <f>IF(OR(Table1[[#This Row],[marital_Married]]=1,Table1[[#This Row],[marital_Together]]=1),1,0)</f>
        <v>0</v>
      </c>
      <c r="AN2060" t="str">
        <f>IF(Table1[[#This Row],[Income]]&gt;=70000,"HIGH INCOME","LOW INCOME")</f>
        <v>LOW INCOME</v>
      </c>
      <c r="AO2060" s="1" t="str">
        <f>IF(Table1[[#This Row],[MNT_TOTAL]]&gt;=900,"HIGH VALUE","LOW VALUE")</f>
        <v>LOW VALUE</v>
      </c>
      <c r="AP20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60" s="1"/>
      <c r="AR2060" s="1"/>
    </row>
    <row r="2061" spans="1:44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51</v>
      </c>
      <c r="X2061">
        <v>2410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21</v>
      </c>
      <c r="AJ2061">
        <v>16</v>
      </c>
      <c r="AK2061">
        <v>0</v>
      </c>
      <c r="AL2061">
        <f t="shared" si="32"/>
        <v>26</v>
      </c>
      <c r="AM2061">
        <f>IF(OR(Table1[[#This Row],[marital_Married]]=1,Table1[[#This Row],[marital_Together]]=1),1,0)</f>
        <v>1</v>
      </c>
      <c r="AN2061" t="str">
        <f>IF(Table1[[#This Row],[Income]]&gt;=70000,"HIGH INCOME","LOW INCOME")</f>
        <v>LOW INCOME</v>
      </c>
      <c r="AO2061" s="1" t="str">
        <f>IF(Table1[[#This Row],[MNT_TOTAL]]&gt;=900,"HIGH VALUE","LOW VALUE")</f>
        <v>LOW VALUE</v>
      </c>
      <c r="AP20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61" s="1"/>
      <c r="AR2061" s="1"/>
    </row>
    <row r="2062" spans="1:44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44</v>
      </c>
      <c r="X2062">
        <v>2217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308</v>
      </c>
      <c r="AJ2062">
        <v>266</v>
      </c>
      <c r="AK2062">
        <v>0</v>
      </c>
      <c r="AL2062">
        <f t="shared" si="32"/>
        <v>350</v>
      </c>
      <c r="AM2062">
        <f>IF(OR(Table1[[#This Row],[marital_Married]]=1,Table1[[#This Row],[marital_Together]]=1),1,0)</f>
        <v>1</v>
      </c>
      <c r="AN2062" t="str">
        <f>IF(Table1[[#This Row],[Income]]&gt;=70000,"HIGH INCOME","LOW INCOME")</f>
        <v>HIGH INCOME</v>
      </c>
      <c r="AO2062" s="1" t="str">
        <f>IF(Table1[[#This Row],[MNT_TOTAL]]&gt;=900,"HIGH VALUE","LOW VALUE")</f>
        <v>LOW VALUE</v>
      </c>
      <c r="AP20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62" s="1"/>
      <c r="AR2062" s="1"/>
    </row>
    <row r="2063" spans="1:44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0</v>
      </c>
      <c r="V2063">
        <v>1</v>
      </c>
      <c r="W2063">
        <v>27</v>
      </c>
      <c r="X2063">
        <v>2716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971</v>
      </c>
      <c r="AJ2063">
        <v>726</v>
      </c>
      <c r="AK2063">
        <v>2</v>
      </c>
      <c r="AL2063">
        <f t="shared" si="32"/>
        <v>1216</v>
      </c>
      <c r="AM2063">
        <f>IF(OR(Table1[[#This Row],[marital_Married]]=1,Table1[[#This Row],[marital_Together]]=1),1,0)</f>
        <v>0</v>
      </c>
      <c r="AN2063" t="str">
        <f>IF(Table1[[#This Row],[Income]]&gt;=70000,"HIGH INCOME","LOW INCOME")</f>
        <v>HIGH INCOME</v>
      </c>
      <c r="AO2063" s="1" t="str">
        <f>IF(Table1[[#This Row],[MNT_TOTAL]]&gt;=900,"HIGH VALUE","LOW VALUE")</f>
        <v>HIGH VALUE</v>
      </c>
      <c r="AP20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63" s="1"/>
      <c r="AR2063" s="1"/>
    </row>
    <row r="2064" spans="1:44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71</v>
      </c>
      <c r="X2064">
        <v>2819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832</v>
      </c>
      <c r="AJ2064">
        <v>790</v>
      </c>
      <c r="AK2064">
        <v>1</v>
      </c>
      <c r="AL2064">
        <f t="shared" si="32"/>
        <v>874</v>
      </c>
      <c r="AM2064">
        <f>IF(OR(Table1[[#This Row],[marital_Married]]=1,Table1[[#This Row],[marital_Together]]=1),1,0)</f>
        <v>1</v>
      </c>
      <c r="AN2064" t="str">
        <f>IF(Table1[[#This Row],[Income]]&gt;=70000,"HIGH INCOME","LOW INCOME")</f>
        <v>LOW INCOME</v>
      </c>
      <c r="AO2064" s="1" t="str">
        <f>IF(Table1[[#This Row],[MNT_TOTAL]]&gt;=900,"HIGH VALUE","LOW VALUE")</f>
        <v>LOW VALUE</v>
      </c>
      <c r="AP20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64" s="1"/>
      <c r="AR2064" s="1"/>
    </row>
    <row r="2065" spans="1:44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70</v>
      </c>
      <c r="X2065">
        <v>2563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39</v>
      </c>
      <c r="AJ2065">
        <v>38</v>
      </c>
      <c r="AK2065">
        <v>0</v>
      </c>
      <c r="AL2065">
        <f t="shared" si="32"/>
        <v>40</v>
      </c>
      <c r="AM2065">
        <f>IF(OR(Table1[[#This Row],[marital_Married]]=1,Table1[[#This Row],[marital_Together]]=1),1,0)</f>
        <v>1</v>
      </c>
      <c r="AN2065" t="str">
        <f>IF(Table1[[#This Row],[Income]]&gt;=70000,"HIGH INCOME","LOW INCOME")</f>
        <v>LOW INCOME</v>
      </c>
      <c r="AO2065" s="1" t="str">
        <f>IF(Table1[[#This Row],[MNT_TOTAL]]&gt;=900,"HIGH VALUE","LOW VALUE")</f>
        <v>LOW VALUE</v>
      </c>
      <c r="AP20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65" s="1"/>
      <c r="AR2065" s="1"/>
    </row>
    <row r="2066" spans="1:44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45</v>
      </c>
      <c r="X2066">
        <v>2431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1259</v>
      </c>
      <c r="AJ2066">
        <v>1151</v>
      </c>
      <c r="AK2066">
        <v>0</v>
      </c>
      <c r="AL2066">
        <f t="shared" si="32"/>
        <v>1367</v>
      </c>
      <c r="AM2066">
        <f>IF(OR(Table1[[#This Row],[marital_Married]]=1,Table1[[#This Row],[marital_Together]]=1),1,0)</f>
        <v>1</v>
      </c>
      <c r="AN2066" t="str">
        <f>IF(Table1[[#This Row],[Income]]&gt;=70000,"HIGH INCOME","LOW INCOME")</f>
        <v>HIGH INCOME</v>
      </c>
      <c r="AO2066" s="1" t="str">
        <f>IF(Table1[[#This Row],[MNT_TOTAL]]&gt;=900,"HIGH VALUE","LOW VALUE")</f>
        <v>HIGH VALUE</v>
      </c>
      <c r="AP20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66" s="1"/>
      <c r="AR2066" s="1"/>
    </row>
    <row r="2067" spans="1:44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64</v>
      </c>
      <c r="X2067">
        <v>2556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220</v>
      </c>
      <c r="AJ2067">
        <v>176</v>
      </c>
      <c r="AK2067">
        <v>0</v>
      </c>
      <c r="AL2067">
        <f t="shared" si="32"/>
        <v>264</v>
      </c>
      <c r="AM2067">
        <f>IF(OR(Table1[[#This Row],[marital_Married]]=1,Table1[[#This Row],[marital_Together]]=1),1,0)</f>
        <v>0</v>
      </c>
      <c r="AN2067" t="str">
        <f>IF(Table1[[#This Row],[Income]]&gt;=70000,"HIGH INCOME","LOW INCOME")</f>
        <v>LOW INCOME</v>
      </c>
      <c r="AO2067" s="1" t="str">
        <f>IF(Table1[[#This Row],[MNT_TOTAL]]&gt;=900,"HIGH VALUE","LOW VALUE")</f>
        <v>LOW VALUE</v>
      </c>
      <c r="AP20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67" s="1"/>
      <c r="AR2067" s="1"/>
    </row>
    <row r="2068" spans="1:44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1</v>
      </c>
      <c r="W2068">
        <v>44</v>
      </c>
      <c r="X2068">
        <v>2797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1868</v>
      </c>
      <c r="AJ2068">
        <v>1683</v>
      </c>
      <c r="AK2068">
        <v>2</v>
      </c>
      <c r="AL2068">
        <f t="shared" si="32"/>
        <v>2053</v>
      </c>
      <c r="AM2068">
        <f>IF(OR(Table1[[#This Row],[marital_Married]]=1,Table1[[#This Row],[marital_Together]]=1),1,0)</f>
        <v>1</v>
      </c>
      <c r="AN2068" t="str">
        <f>IF(Table1[[#This Row],[Income]]&gt;=70000,"HIGH INCOME","LOW INCOME")</f>
        <v>HIGH INCOME</v>
      </c>
      <c r="AO2068" s="1" t="str">
        <f>IF(Table1[[#This Row],[MNT_TOTAL]]&gt;=900,"HIGH VALUE","LOW VALUE")</f>
        <v>HIGH VALUE</v>
      </c>
      <c r="AP20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68" s="1"/>
      <c r="AR2068" s="1"/>
    </row>
    <row r="2069" spans="1:44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45</v>
      </c>
      <c r="X2069">
        <v>2736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1300</v>
      </c>
      <c r="AJ2069">
        <v>1224</v>
      </c>
      <c r="AK2069">
        <v>2</v>
      </c>
      <c r="AL2069">
        <f t="shared" si="32"/>
        <v>1376</v>
      </c>
      <c r="AM2069">
        <f>IF(OR(Table1[[#This Row],[marital_Married]]=1,Table1[[#This Row],[marital_Together]]=1),1,0)</f>
        <v>1</v>
      </c>
      <c r="AN2069" t="str">
        <f>IF(Table1[[#This Row],[Income]]&gt;=70000,"HIGH INCOME","LOW INCOME")</f>
        <v>HIGH INCOME</v>
      </c>
      <c r="AO2069" s="1" t="str">
        <f>IF(Table1[[#This Row],[MNT_TOTAL]]&gt;=900,"HIGH VALUE","LOW VALUE")</f>
        <v>HIGH VALUE</v>
      </c>
      <c r="AP20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69" s="1"/>
      <c r="AR2069" s="1"/>
    </row>
    <row r="2070" spans="1:44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44</v>
      </c>
      <c r="X2070">
        <v>2260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39</v>
      </c>
      <c r="AJ2070">
        <v>33</v>
      </c>
      <c r="AK2070">
        <v>0</v>
      </c>
      <c r="AL2070">
        <f t="shared" si="32"/>
        <v>45</v>
      </c>
      <c r="AM2070">
        <f>IF(OR(Table1[[#This Row],[marital_Married]]=1,Table1[[#This Row],[marital_Together]]=1),1,0)</f>
        <v>1</v>
      </c>
      <c r="AN2070" t="str">
        <f>IF(Table1[[#This Row],[Income]]&gt;=70000,"HIGH INCOME","LOW INCOME")</f>
        <v>LOW INCOME</v>
      </c>
      <c r="AO2070" s="1" t="str">
        <f>IF(Table1[[#This Row],[MNT_TOTAL]]&gt;=900,"HIGH VALUE","LOW VALUE")</f>
        <v>LOW VALUE</v>
      </c>
      <c r="AP20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0" s="1"/>
      <c r="AR2070" s="1"/>
    </row>
    <row r="2071" spans="1:44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71</v>
      </c>
      <c r="X2071">
        <v>2197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976</v>
      </c>
      <c r="AJ2071">
        <v>976</v>
      </c>
      <c r="AK2071">
        <v>0</v>
      </c>
      <c r="AL2071">
        <f t="shared" si="32"/>
        <v>976</v>
      </c>
      <c r="AM2071">
        <f>IF(OR(Table1[[#This Row],[marital_Married]]=1,Table1[[#This Row],[marital_Together]]=1),1,0)</f>
        <v>1</v>
      </c>
      <c r="AN2071" t="str">
        <f>IF(Table1[[#This Row],[Income]]&gt;=70000,"HIGH INCOME","LOW INCOME")</f>
        <v>LOW INCOME</v>
      </c>
      <c r="AO2071" s="1" t="str">
        <f>IF(Table1[[#This Row],[MNT_TOTAL]]&gt;=900,"HIGH VALUE","LOW VALUE")</f>
        <v>HIGH VALUE</v>
      </c>
      <c r="AP20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71" s="1"/>
      <c r="AR2071" s="1"/>
    </row>
    <row r="2072" spans="1:44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36</v>
      </c>
      <c r="X2072">
        <v>2809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35</v>
      </c>
      <c r="AJ2072">
        <v>19</v>
      </c>
      <c r="AK2072">
        <v>0</v>
      </c>
      <c r="AL2072">
        <f t="shared" si="32"/>
        <v>51</v>
      </c>
      <c r="AM2072">
        <f>IF(OR(Table1[[#This Row],[marital_Married]]=1,Table1[[#This Row],[marital_Together]]=1),1,0)</f>
        <v>1</v>
      </c>
      <c r="AN2072" t="str">
        <f>IF(Table1[[#This Row],[Income]]&gt;=70000,"HIGH INCOME","LOW INCOME")</f>
        <v>LOW INCOME</v>
      </c>
      <c r="AO2072" s="1" t="str">
        <f>IF(Table1[[#This Row],[MNT_TOTAL]]&gt;=900,"HIGH VALUE","LOW VALUE")</f>
        <v>LOW VALUE</v>
      </c>
      <c r="AP20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2" s="1"/>
      <c r="AR2072" s="1"/>
    </row>
    <row r="2073" spans="1:44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46</v>
      </c>
      <c r="X2073">
        <v>2289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1228</v>
      </c>
      <c r="AJ2073">
        <v>1192</v>
      </c>
      <c r="AK2073">
        <v>2</v>
      </c>
      <c r="AL2073">
        <f t="shared" si="32"/>
        <v>1264</v>
      </c>
      <c r="AM2073">
        <f>IF(OR(Table1[[#This Row],[marital_Married]]=1,Table1[[#This Row],[marital_Together]]=1),1,0)</f>
        <v>1</v>
      </c>
      <c r="AN2073" t="str">
        <f>IF(Table1[[#This Row],[Income]]&gt;=70000,"HIGH INCOME","LOW INCOME")</f>
        <v>HIGH INCOME</v>
      </c>
      <c r="AO2073" s="1" t="str">
        <f>IF(Table1[[#This Row],[MNT_TOTAL]]&gt;=900,"HIGH VALUE","LOW VALUE")</f>
        <v>HIGH VALUE</v>
      </c>
      <c r="AP20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73" s="1"/>
      <c r="AR2073" s="1"/>
    </row>
    <row r="2074" spans="1:44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48</v>
      </c>
      <c r="X2074">
        <v>2645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48</v>
      </c>
      <c r="AJ2074">
        <v>21</v>
      </c>
      <c r="AK2074">
        <v>0</v>
      </c>
      <c r="AL2074">
        <f t="shared" si="32"/>
        <v>75</v>
      </c>
      <c r="AM2074">
        <f>IF(OR(Table1[[#This Row],[marital_Married]]=1,Table1[[#This Row],[marital_Together]]=1),1,0)</f>
        <v>1</v>
      </c>
      <c r="AN2074" t="str">
        <f>IF(Table1[[#This Row],[Income]]&gt;=70000,"HIGH INCOME","LOW INCOME")</f>
        <v>LOW INCOME</v>
      </c>
      <c r="AO2074" s="1" t="str">
        <f>IF(Table1[[#This Row],[MNT_TOTAL]]&gt;=900,"HIGH VALUE","LOW VALUE")</f>
        <v>LOW VALUE</v>
      </c>
      <c r="AP20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4" s="1"/>
      <c r="AR2074" s="1"/>
    </row>
    <row r="2075" spans="1:44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34</v>
      </c>
      <c r="X2075">
        <v>2767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40</v>
      </c>
      <c r="AJ2075">
        <v>23</v>
      </c>
      <c r="AK2075">
        <v>0</v>
      </c>
      <c r="AL2075">
        <f t="shared" si="32"/>
        <v>57</v>
      </c>
      <c r="AM2075">
        <f>IF(OR(Table1[[#This Row],[marital_Married]]=1,Table1[[#This Row],[marital_Together]]=1),1,0)</f>
        <v>1</v>
      </c>
      <c r="AN2075" t="str">
        <f>IF(Table1[[#This Row],[Income]]&gt;=70000,"HIGH INCOME","LOW INCOME")</f>
        <v>LOW INCOME</v>
      </c>
      <c r="AO2075" s="1" t="str">
        <f>IF(Table1[[#This Row],[MNT_TOTAL]]&gt;=900,"HIGH VALUE","LOW VALUE")</f>
        <v>LOW VALUE</v>
      </c>
      <c r="AP20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5" s="1"/>
      <c r="AR2075" s="1"/>
    </row>
    <row r="2076" spans="1:44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58</v>
      </c>
      <c r="X2076">
        <v>2543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118</v>
      </c>
      <c r="AJ2076">
        <v>96</v>
      </c>
      <c r="AK2076">
        <v>0</v>
      </c>
      <c r="AL2076">
        <f t="shared" si="32"/>
        <v>140</v>
      </c>
      <c r="AM2076">
        <f>IF(OR(Table1[[#This Row],[marital_Married]]=1,Table1[[#This Row],[marital_Together]]=1),1,0)</f>
        <v>1</v>
      </c>
      <c r="AN2076" t="str">
        <f>IF(Table1[[#This Row],[Income]]&gt;=70000,"HIGH INCOME","LOW INCOME")</f>
        <v>LOW INCOME</v>
      </c>
      <c r="AO2076" s="1" t="str">
        <f>IF(Table1[[#This Row],[MNT_TOTAL]]&gt;=900,"HIGH VALUE","LOW VALUE")</f>
        <v>LOW VALUE</v>
      </c>
      <c r="AP20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6" s="1"/>
      <c r="AR2076" s="1"/>
    </row>
    <row r="2077" spans="1:44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50</v>
      </c>
      <c r="X2077">
        <v>2720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372</v>
      </c>
      <c r="AJ2077">
        <v>247</v>
      </c>
      <c r="AK2077">
        <v>1</v>
      </c>
      <c r="AL2077">
        <f t="shared" si="32"/>
        <v>497</v>
      </c>
      <c r="AM2077">
        <f>IF(OR(Table1[[#This Row],[marital_Married]]=1,Table1[[#This Row],[marital_Together]]=1),1,0)</f>
        <v>0</v>
      </c>
      <c r="AN2077" t="str">
        <f>IF(Table1[[#This Row],[Income]]&gt;=70000,"HIGH INCOME","LOW INCOME")</f>
        <v>HIGH INCOME</v>
      </c>
      <c r="AO2077" s="1" t="str">
        <f>IF(Table1[[#This Row],[MNT_TOTAL]]&gt;=900,"HIGH VALUE","LOW VALUE")</f>
        <v>LOW VALUE</v>
      </c>
      <c r="AP20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77" s="1"/>
      <c r="AR2077" s="1"/>
    </row>
    <row r="2078" spans="1:44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71</v>
      </c>
      <c r="X2078">
        <v>2545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219</v>
      </c>
      <c r="AJ2078">
        <v>172</v>
      </c>
      <c r="AK2078">
        <v>0</v>
      </c>
      <c r="AL2078">
        <f t="shared" si="32"/>
        <v>266</v>
      </c>
      <c r="AM2078">
        <f>IF(OR(Table1[[#This Row],[marital_Married]]=1,Table1[[#This Row],[marital_Together]]=1),1,0)</f>
        <v>1</v>
      </c>
      <c r="AN2078" t="str">
        <f>IF(Table1[[#This Row],[Income]]&gt;=70000,"HIGH INCOME","LOW INCOME")</f>
        <v>LOW INCOME</v>
      </c>
      <c r="AO2078" s="1" t="str">
        <f>IF(Table1[[#This Row],[MNT_TOTAL]]&gt;=900,"HIGH VALUE","LOW VALUE")</f>
        <v>LOW VALUE</v>
      </c>
      <c r="AP20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78" s="1"/>
      <c r="AR2078" s="1"/>
    </row>
    <row r="2079" spans="1:44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1</v>
      </c>
      <c r="W2079">
        <v>59</v>
      </c>
      <c r="X2079">
        <v>2809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1987</v>
      </c>
      <c r="AJ2079">
        <v>1968</v>
      </c>
      <c r="AK2079">
        <v>1</v>
      </c>
      <c r="AL2079">
        <f t="shared" si="32"/>
        <v>2006</v>
      </c>
      <c r="AM2079">
        <f>IF(OR(Table1[[#This Row],[marital_Married]]=1,Table1[[#This Row],[marital_Together]]=1),1,0)</f>
        <v>0</v>
      </c>
      <c r="AN2079" t="str">
        <f>IF(Table1[[#This Row],[Income]]&gt;=70000,"HIGH INCOME","LOW INCOME")</f>
        <v>HIGH INCOME</v>
      </c>
      <c r="AO2079" s="1" t="str">
        <f>IF(Table1[[#This Row],[MNT_TOTAL]]&gt;=900,"HIGH VALUE","LOW VALUE")</f>
        <v>HIGH VALUE</v>
      </c>
      <c r="AP20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79" s="1"/>
      <c r="AR2079" s="1"/>
    </row>
    <row r="2080" spans="1:44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65</v>
      </c>
      <c r="X2080">
        <v>2551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551</v>
      </c>
      <c r="AJ2080">
        <v>487</v>
      </c>
      <c r="AK2080">
        <v>0</v>
      </c>
      <c r="AL2080">
        <f t="shared" si="32"/>
        <v>615</v>
      </c>
      <c r="AM2080">
        <f>IF(OR(Table1[[#This Row],[marital_Married]]=1,Table1[[#This Row],[marital_Together]]=1),1,0)</f>
        <v>0</v>
      </c>
      <c r="AN2080" t="str">
        <f>IF(Table1[[#This Row],[Income]]&gt;=70000,"HIGH INCOME","LOW INCOME")</f>
        <v>LOW INCOME</v>
      </c>
      <c r="AO2080" s="1" t="str">
        <f>IF(Table1[[#This Row],[MNT_TOTAL]]&gt;=900,"HIGH VALUE","LOW VALUE")</f>
        <v>LOW VALUE</v>
      </c>
      <c r="AP20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0" s="1"/>
      <c r="AR2080" s="1"/>
    </row>
    <row r="2081" spans="1:44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39</v>
      </c>
      <c r="X2081">
        <v>2714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897</v>
      </c>
      <c r="AJ2081">
        <v>773</v>
      </c>
      <c r="AK2081">
        <v>1</v>
      </c>
      <c r="AL2081">
        <f t="shared" si="32"/>
        <v>1021</v>
      </c>
      <c r="AM2081">
        <f>IF(OR(Table1[[#This Row],[marital_Married]]=1,Table1[[#This Row],[marital_Together]]=1),1,0)</f>
        <v>1</v>
      </c>
      <c r="AN2081" t="str">
        <f>IF(Table1[[#This Row],[Income]]&gt;=70000,"HIGH INCOME","LOW INCOME")</f>
        <v>LOW INCOME</v>
      </c>
      <c r="AO2081" s="1" t="str">
        <f>IF(Table1[[#This Row],[MNT_TOTAL]]&gt;=900,"HIGH VALUE","LOW VALUE")</f>
        <v>HIGH VALUE</v>
      </c>
      <c r="AP20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1" s="1"/>
      <c r="AR2081" s="1"/>
    </row>
    <row r="2082" spans="1:44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67</v>
      </c>
      <c r="X2082">
        <v>2203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20</v>
      </c>
      <c r="AJ2082">
        <v>18</v>
      </c>
      <c r="AK2082">
        <v>0</v>
      </c>
      <c r="AL2082">
        <f t="shared" si="32"/>
        <v>22</v>
      </c>
      <c r="AM2082">
        <f>IF(OR(Table1[[#This Row],[marital_Married]]=1,Table1[[#This Row],[marital_Together]]=1),1,0)</f>
        <v>1</v>
      </c>
      <c r="AN2082" t="str">
        <f>IF(Table1[[#This Row],[Income]]&gt;=70000,"HIGH INCOME","LOW INCOME")</f>
        <v>LOW INCOME</v>
      </c>
      <c r="AO2082" s="1" t="str">
        <f>IF(Table1[[#This Row],[MNT_TOTAL]]&gt;=900,"HIGH VALUE","LOW VALUE")</f>
        <v>LOW VALUE</v>
      </c>
      <c r="AP20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82" s="1"/>
      <c r="AR2082" s="1"/>
    </row>
    <row r="2083" spans="1:44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46</v>
      </c>
      <c r="X2083">
        <v>2399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69</v>
      </c>
      <c r="AJ2083">
        <v>5</v>
      </c>
      <c r="AK2083">
        <v>0</v>
      </c>
      <c r="AL2083">
        <f t="shared" si="32"/>
        <v>133</v>
      </c>
      <c r="AM2083">
        <f>IF(OR(Table1[[#This Row],[marital_Married]]=1,Table1[[#This Row],[marital_Together]]=1),1,0)</f>
        <v>1</v>
      </c>
      <c r="AN2083" t="str">
        <f>IF(Table1[[#This Row],[Income]]&gt;=70000,"HIGH INCOME","LOW INCOME")</f>
        <v>LOW INCOME</v>
      </c>
      <c r="AO2083" s="1" t="str">
        <f>IF(Table1[[#This Row],[MNT_TOTAL]]&gt;=900,"HIGH VALUE","LOW VALUE")</f>
        <v>LOW VALUE</v>
      </c>
      <c r="AP20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83" s="1"/>
      <c r="AR2083" s="1"/>
    </row>
    <row r="2084" spans="1:44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66</v>
      </c>
      <c r="X2084">
        <v>2499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394</v>
      </c>
      <c r="AJ2084">
        <v>351</v>
      </c>
      <c r="AK2084">
        <v>0</v>
      </c>
      <c r="AL2084">
        <f t="shared" si="32"/>
        <v>437</v>
      </c>
      <c r="AM2084">
        <f>IF(OR(Table1[[#This Row],[marital_Married]]=1,Table1[[#This Row],[marital_Together]]=1),1,0)</f>
        <v>1</v>
      </c>
      <c r="AN2084" t="str">
        <f>IF(Table1[[#This Row],[Income]]&gt;=70000,"HIGH INCOME","LOW INCOME")</f>
        <v>LOW INCOME</v>
      </c>
      <c r="AO2084" s="1" t="str">
        <f>IF(Table1[[#This Row],[MNT_TOTAL]]&gt;=900,"HIGH VALUE","LOW VALUE")</f>
        <v>LOW VALUE</v>
      </c>
      <c r="AP20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84" s="1"/>
      <c r="AR2084" s="1"/>
    </row>
    <row r="2085" spans="1:44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51</v>
      </c>
      <c r="X2085">
        <v>2366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956</v>
      </c>
      <c r="AJ2085">
        <v>899</v>
      </c>
      <c r="AK2085">
        <v>0</v>
      </c>
      <c r="AL2085">
        <f t="shared" si="32"/>
        <v>1013</v>
      </c>
      <c r="AM2085">
        <f>IF(OR(Table1[[#This Row],[marital_Married]]=1,Table1[[#This Row],[marital_Together]]=1),1,0)</f>
        <v>1</v>
      </c>
      <c r="AN2085" t="str">
        <f>IF(Table1[[#This Row],[Income]]&gt;=70000,"HIGH INCOME","LOW INCOME")</f>
        <v>LOW INCOME</v>
      </c>
      <c r="AO2085" s="1" t="str">
        <f>IF(Table1[[#This Row],[MNT_TOTAL]]&gt;=900,"HIGH VALUE","LOW VALUE")</f>
        <v>HIGH VALUE</v>
      </c>
      <c r="AP20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5" s="1"/>
      <c r="AR2085" s="1"/>
    </row>
    <row r="2086" spans="1:44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39</v>
      </c>
      <c r="X2086">
        <v>2466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40</v>
      </c>
      <c r="AJ2086">
        <v>23</v>
      </c>
      <c r="AK2086">
        <v>0</v>
      </c>
      <c r="AL2086">
        <f t="shared" si="32"/>
        <v>57</v>
      </c>
      <c r="AM2086">
        <f>IF(OR(Table1[[#This Row],[marital_Married]]=1,Table1[[#This Row],[marital_Together]]=1),1,0)</f>
        <v>1</v>
      </c>
      <c r="AN2086" t="str">
        <f>IF(Table1[[#This Row],[Income]]&gt;=70000,"HIGH INCOME","LOW INCOME")</f>
        <v>LOW INCOME</v>
      </c>
      <c r="AO2086" s="1" t="str">
        <f>IF(Table1[[#This Row],[MNT_TOTAL]]&gt;=900,"HIGH VALUE","LOW VALUE")</f>
        <v>LOW VALUE</v>
      </c>
      <c r="AP20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86" s="1"/>
      <c r="AR2086" s="1"/>
    </row>
    <row r="2087" spans="1:44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68</v>
      </c>
      <c r="X2087">
        <v>2318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1018</v>
      </c>
      <c r="AJ2087">
        <v>998</v>
      </c>
      <c r="AK2087">
        <v>0</v>
      </c>
      <c r="AL2087">
        <f t="shared" si="32"/>
        <v>1038</v>
      </c>
      <c r="AM2087">
        <f>IF(OR(Table1[[#This Row],[marital_Married]]=1,Table1[[#This Row],[marital_Together]]=1),1,0)</f>
        <v>1</v>
      </c>
      <c r="AN2087" t="str">
        <f>IF(Table1[[#This Row],[Income]]&gt;=70000,"HIGH INCOME","LOW INCOME")</f>
        <v>LOW INCOME</v>
      </c>
      <c r="AO2087" s="1" t="str">
        <f>IF(Table1[[#This Row],[MNT_TOTAL]]&gt;=900,"HIGH VALUE","LOW VALUE")</f>
        <v>HIGH VALUE</v>
      </c>
      <c r="AP20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7" s="1"/>
      <c r="AR2087" s="1"/>
    </row>
    <row r="2088" spans="1:44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58</v>
      </c>
      <c r="X2088">
        <v>2604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1419</v>
      </c>
      <c r="AJ2088">
        <v>1265</v>
      </c>
      <c r="AK2088">
        <v>0</v>
      </c>
      <c r="AL2088">
        <f t="shared" si="32"/>
        <v>1573</v>
      </c>
      <c r="AM2088">
        <f>IF(OR(Table1[[#This Row],[marital_Married]]=1,Table1[[#This Row],[marital_Together]]=1),1,0)</f>
        <v>0</v>
      </c>
      <c r="AN2088" t="str">
        <f>IF(Table1[[#This Row],[Income]]&gt;=70000,"HIGH INCOME","LOW INCOME")</f>
        <v>HIGH INCOME</v>
      </c>
      <c r="AO2088" s="1" t="str">
        <f>IF(Table1[[#This Row],[MNT_TOTAL]]&gt;=900,"HIGH VALUE","LOW VALUE")</f>
        <v>HIGH VALUE</v>
      </c>
      <c r="AP20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088" s="1"/>
      <c r="AR2088" s="1"/>
    </row>
    <row r="2089" spans="1:44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49</v>
      </c>
      <c r="X2089">
        <v>2778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19</v>
      </c>
      <c r="AJ2089">
        <v>10</v>
      </c>
      <c r="AK2089">
        <v>0</v>
      </c>
      <c r="AL2089">
        <f t="shared" si="32"/>
        <v>28</v>
      </c>
      <c r="AM2089">
        <f>IF(OR(Table1[[#This Row],[marital_Married]]=1,Table1[[#This Row],[marital_Together]]=1),1,0)</f>
        <v>0</v>
      </c>
      <c r="AN2089" t="str">
        <f>IF(Table1[[#This Row],[Income]]&gt;=70000,"HIGH INCOME","LOW INCOME")</f>
        <v>LOW INCOME</v>
      </c>
      <c r="AO2089" s="1" t="str">
        <f>IF(Table1[[#This Row],[MNT_TOTAL]]&gt;=900,"HIGH VALUE","LOW VALUE")</f>
        <v>LOW VALUE</v>
      </c>
      <c r="AP20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89" s="1"/>
      <c r="AR2089" s="1"/>
    </row>
    <row r="2090" spans="1:44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44</v>
      </c>
      <c r="X2090">
        <v>2814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118</v>
      </c>
      <c r="AJ2090">
        <v>113</v>
      </c>
      <c r="AK2090">
        <v>0</v>
      </c>
      <c r="AL2090">
        <f t="shared" si="32"/>
        <v>123</v>
      </c>
      <c r="AM2090">
        <f>IF(OR(Table1[[#This Row],[marital_Married]]=1,Table1[[#This Row],[marital_Together]]=1),1,0)</f>
        <v>1</v>
      </c>
      <c r="AN2090" t="str">
        <f>IF(Table1[[#This Row],[Income]]&gt;=70000,"HIGH INCOME","LOW INCOME")</f>
        <v>LOW INCOME</v>
      </c>
      <c r="AO2090" s="1" t="str">
        <f>IF(Table1[[#This Row],[MNT_TOTAL]]&gt;=900,"HIGH VALUE","LOW VALUE")</f>
        <v>LOW VALUE</v>
      </c>
      <c r="AP20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0" s="1"/>
      <c r="AR2090" s="1"/>
    </row>
    <row r="2091" spans="1:44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44</v>
      </c>
      <c r="X2091">
        <v>2482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8</v>
      </c>
      <c r="AJ2091">
        <v>3</v>
      </c>
      <c r="AK2091">
        <v>0</v>
      </c>
      <c r="AL2091">
        <f t="shared" si="32"/>
        <v>13</v>
      </c>
      <c r="AM2091">
        <f>IF(OR(Table1[[#This Row],[marital_Married]]=1,Table1[[#This Row],[marital_Together]]=1),1,0)</f>
        <v>1</v>
      </c>
      <c r="AN2091" t="str">
        <f>IF(Table1[[#This Row],[Income]]&gt;=70000,"HIGH INCOME","LOW INCOME")</f>
        <v>LOW INCOME</v>
      </c>
      <c r="AO2091" s="1" t="str">
        <f>IF(Table1[[#This Row],[MNT_TOTAL]]&gt;=900,"HIGH VALUE","LOW VALUE")</f>
        <v>LOW VALUE</v>
      </c>
      <c r="AP20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1" s="1"/>
      <c r="AR2091" s="1"/>
    </row>
    <row r="2092" spans="1:44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40</v>
      </c>
      <c r="X2092">
        <v>2827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116</v>
      </c>
      <c r="AJ2092">
        <v>100</v>
      </c>
      <c r="AK2092">
        <v>0</v>
      </c>
      <c r="AL2092">
        <f t="shared" si="32"/>
        <v>132</v>
      </c>
      <c r="AM2092">
        <f>IF(OR(Table1[[#This Row],[marital_Married]]=1,Table1[[#This Row],[marital_Together]]=1),1,0)</f>
        <v>1</v>
      </c>
      <c r="AN2092" t="str">
        <f>IF(Table1[[#This Row],[Income]]&gt;=70000,"HIGH INCOME","LOW INCOME")</f>
        <v>LOW INCOME</v>
      </c>
      <c r="AO2092" s="1" t="str">
        <f>IF(Table1[[#This Row],[MNT_TOTAL]]&gt;=900,"HIGH VALUE","LOW VALUE")</f>
        <v>LOW VALUE</v>
      </c>
      <c r="AP20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2" s="1"/>
      <c r="AR2092" s="1"/>
    </row>
    <row r="2093" spans="1:44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64</v>
      </c>
      <c r="X2093">
        <v>2854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503</v>
      </c>
      <c r="AJ2093">
        <v>274</v>
      </c>
      <c r="AK2093">
        <v>0</v>
      </c>
      <c r="AL2093">
        <f t="shared" si="32"/>
        <v>732</v>
      </c>
      <c r="AM2093">
        <f>IF(OR(Table1[[#This Row],[marital_Married]]=1,Table1[[#This Row],[marital_Together]]=1),1,0)</f>
        <v>1</v>
      </c>
      <c r="AN2093" t="str">
        <f>IF(Table1[[#This Row],[Income]]&gt;=70000,"HIGH INCOME","LOW INCOME")</f>
        <v>LOW INCOME</v>
      </c>
      <c r="AO2093" s="1" t="str">
        <f>IF(Table1[[#This Row],[MNT_TOTAL]]&gt;=900,"HIGH VALUE","LOW VALUE")</f>
        <v>LOW VALUE</v>
      </c>
      <c r="AP20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3" s="1"/>
      <c r="AR2093" s="1"/>
    </row>
    <row r="2094" spans="1:44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63</v>
      </c>
      <c r="X2094">
        <v>2168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64</v>
      </c>
      <c r="AJ2094">
        <v>62</v>
      </c>
      <c r="AK2094">
        <v>1</v>
      </c>
      <c r="AL2094">
        <f t="shared" si="32"/>
        <v>66</v>
      </c>
      <c r="AM2094">
        <f>IF(OR(Table1[[#This Row],[marital_Married]]=1,Table1[[#This Row],[marital_Together]]=1),1,0)</f>
        <v>1</v>
      </c>
      <c r="AN2094" t="str">
        <f>IF(Table1[[#This Row],[Income]]&gt;=70000,"HIGH INCOME","LOW INCOME")</f>
        <v>LOW INCOME</v>
      </c>
      <c r="AO2094" s="1" t="str">
        <f>IF(Table1[[#This Row],[MNT_TOTAL]]&gt;=900,"HIGH VALUE","LOW VALUE")</f>
        <v>LOW VALUE</v>
      </c>
      <c r="AP20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4" s="1"/>
      <c r="AR2094" s="1"/>
    </row>
    <row r="2095" spans="1:44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48</v>
      </c>
      <c r="X2095">
        <v>2427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1555</v>
      </c>
      <c r="AJ2095">
        <v>1479</v>
      </c>
      <c r="AK2095">
        <v>3</v>
      </c>
      <c r="AL2095">
        <f t="shared" si="32"/>
        <v>1631</v>
      </c>
      <c r="AM2095">
        <f>IF(OR(Table1[[#This Row],[marital_Married]]=1,Table1[[#This Row],[marital_Together]]=1),1,0)</f>
        <v>1</v>
      </c>
      <c r="AN2095" t="str">
        <f>IF(Table1[[#This Row],[Income]]&gt;=70000,"HIGH INCOME","LOW INCOME")</f>
        <v>HIGH INCOME</v>
      </c>
      <c r="AO2095" s="1" t="str">
        <f>IF(Table1[[#This Row],[MNT_TOTAL]]&gt;=900,"HIGH VALUE","LOW VALUE")</f>
        <v>HIGH VALUE</v>
      </c>
      <c r="AP20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95" s="1"/>
      <c r="AR2095" s="1"/>
    </row>
    <row r="2096" spans="1:44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2490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491</v>
      </c>
      <c r="AJ2096">
        <v>374</v>
      </c>
      <c r="AK2096">
        <v>0</v>
      </c>
      <c r="AL2096">
        <f t="shared" si="32"/>
        <v>608</v>
      </c>
      <c r="AM2096">
        <f>IF(OR(Table1[[#This Row],[marital_Married]]=1,Table1[[#This Row],[marital_Together]]=1),1,0)</f>
        <v>1</v>
      </c>
      <c r="AN2096" t="str">
        <f>IF(Table1[[#This Row],[Income]]&gt;=70000,"HIGH INCOME","LOW INCOME")</f>
        <v>LOW INCOME</v>
      </c>
      <c r="AO2096" s="1" t="str">
        <f>IF(Table1[[#This Row],[MNT_TOTAL]]&gt;=900,"HIGH VALUE","LOW VALUE")</f>
        <v>LOW VALUE</v>
      </c>
      <c r="AP20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6" s="1"/>
      <c r="AR2096" s="1"/>
    </row>
    <row r="2097" spans="1:44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1</v>
      </c>
      <c r="W2097">
        <v>34</v>
      </c>
      <c r="X2097">
        <v>2615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1805</v>
      </c>
      <c r="AJ2097">
        <v>1788</v>
      </c>
      <c r="AK2097">
        <v>1</v>
      </c>
      <c r="AL2097">
        <f t="shared" si="32"/>
        <v>1822</v>
      </c>
      <c r="AM2097">
        <f>IF(OR(Table1[[#This Row],[marital_Married]]=1,Table1[[#This Row],[marital_Together]]=1),1,0)</f>
        <v>1</v>
      </c>
      <c r="AN2097" t="str">
        <f>IF(Table1[[#This Row],[Income]]&gt;=70000,"HIGH INCOME","LOW INCOME")</f>
        <v>HIGH INCOME</v>
      </c>
      <c r="AO2097" s="1" t="str">
        <f>IF(Table1[[#This Row],[MNT_TOTAL]]&gt;=900,"HIGH VALUE","LOW VALUE")</f>
        <v>HIGH VALUE</v>
      </c>
      <c r="AP20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097" s="1"/>
      <c r="AR2097" s="1"/>
    </row>
    <row r="2098" spans="1:44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55</v>
      </c>
      <c r="X2098">
        <v>2823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1270</v>
      </c>
      <c r="AJ2098">
        <v>1258</v>
      </c>
      <c r="AK2098">
        <v>0</v>
      </c>
      <c r="AL2098">
        <f t="shared" si="32"/>
        <v>1282</v>
      </c>
      <c r="AM2098">
        <f>IF(OR(Table1[[#This Row],[marital_Married]]=1,Table1[[#This Row],[marital_Together]]=1),1,0)</f>
        <v>1</v>
      </c>
      <c r="AN2098" t="str">
        <f>IF(Table1[[#This Row],[Income]]&gt;=70000,"HIGH INCOME","LOW INCOME")</f>
        <v>LOW INCOME</v>
      </c>
      <c r="AO2098" s="1" t="str">
        <f>IF(Table1[[#This Row],[MNT_TOTAL]]&gt;=900,"HIGH VALUE","LOW VALUE")</f>
        <v>HIGH VALUE</v>
      </c>
      <c r="AP20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098" s="1"/>
      <c r="AR2098" s="1"/>
    </row>
    <row r="2099" spans="1:44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46</v>
      </c>
      <c r="X2099">
        <v>2397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6</v>
      </c>
      <c r="AJ2099">
        <v>4</v>
      </c>
      <c r="AK2099">
        <v>0</v>
      </c>
      <c r="AL2099">
        <f t="shared" si="32"/>
        <v>8</v>
      </c>
      <c r="AM2099">
        <f>IF(OR(Table1[[#This Row],[marital_Married]]=1,Table1[[#This Row],[marital_Together]]=1),1,0)</f>
        <v>1</v>
      </c>
      <c r="AN2099" t="str">
        <f>IF(Table1[[#This Row],[Income]]&gt;=70000,"HIGH INCOME","LOW INCOME")</f>
        <v>LOW INCOME</v>
      </c>
      <c r="AO2099" s="1" t="str">
        <f>IF(Table1[[#This Row],[MNT_TOTAL]]&gt;=900,"HIGH VALUE","LOW VALUE")</f>
        <v>LOW VALUE</v>
      </c>
      <c r="AP20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099" s="1"/>
      <c r="AR2099" s="1"/>
    </row>
    <row r="2100" spans="1:44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44</v>
      </c>
      <c r="X2100">
        <v>2592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41</v>
      </c>
      <c r="AJ2100">
        <v>39</v>
      </c>
      <c r="AK2100">
        <v>0</v>
      </c>
      <c r="AL2100">
        <f t="shared" si="32"/>
        <v>43</v>
      </c>
      <c r="AM2100">
        <f>IF(OR(Table1[[#This Row],[marital_Married]]=1,Table1[[#This Row],[marital_Together]]=1),1,0)</f>
        <v>0</v>
      </c>
      <c r="AN2100" t="str">
        <f>IF(Table1[[#This Row],[Income]]&gt;=70000,"HIGH INCOME","LOW INCOME")</f>
        <v>LOW INCOME</v>
      </c>
      <c r="AO2100" s="1" t="str">
        <f>IF(Table1[[#This Row],[MNT_TOTAL]]&gt;=900,"HIGH VALUE","LOW VALUE")</f>
        <v>LOW VALUE</v>
      </c>
      <c r="AP21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0" s="1"/>
      <c r="AR2100" s="1"/>
    </row>
    <row r="2101" spans="1:44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1</v>
      </c>
      <c r="W2101">
        <v>44</v>
      </c>
      <c r="X2101">
        <v>2634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1931</v>
      </c>
      <c r="AJ2101">
        <v>1931</v>
      </c>
      <c r="AK2101">
        <v>1</v>
      </c>
      <c r="AL2101">
        <f t="shared" si="32"/>
        <v>1931</v>
      </c>
      <c r="AM2101">
        <f>IF(OR(Table1[[#This Row],[marital_Married]]=1,Table1[[#This Row],[marital_Together]]=1),1,0)</f>
        <v>0</v>
      </c>
      <c r="AN2101" t="str">
        <f>IF(Table1[[#This Row],[Income]]&gt;=70000,"HIGH INCOME","LOW INCOME")</f>
        <v>HIGH INCOME</v>
      </c>
      <c r="AO2101" s="1" t="str">
        <f>IF(Table1[[#This Row],[MNT_TOTAL]]&gt;=900,"HIGH VALUE","LOW VALUE")</f>
        <v>HIGH VALUE</v>
      </c>
      <c r="AP21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01" s="1"/>
      <c r="AR2101" s="1"/>
    </row>
    <row r="2102" spans="1:44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40</v>
      </c>
      <c r="X2102">
        <v>2843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56</v>
      </c>
      <c r="AJ2102">
        <v>9</v>
      </c>
      <c r="AK2102">
        <v>0</v>
      </c>
      <c r="AL2102">
        <f t="shared" si="32"/>
        <v>103</v>
      </c>
      <c r="AM2102">
        <f>IF(OR(Table1[[#This Row],[marital_Married]]=1,Table1[[#This Row],[marital_Together]]=1),1,0)</f>
        <v>1</v>
      </c>
      <c r="AN2102" t="str">
        <f>IF(Table1[[#This Row],[Income]]&gt;=70000,"HIGH INCOME","LOW INCOME")</f>
        <v>LOW INCOME</v>
      </c>
      <c r="AO2102" s="1" t="str">
        <f>IF(Table1[[#This Row],[MNT_TOTAL]]&gt;=900,"HIGH VALUE","LOW VALUE")</f>
        <v>LOW VALUE</v>
      </c>
      <c r="AP21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02" s="1"/>
      <c r="AR2102" s="1"/>
    </row>
    <row r="2103" spans="1:44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63</v>
      </c>
      <c r="X2103">
        <v>2329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1006</v>
      </c>
      <c r="AJ2103">
        <v>843</v>
      </c>
      <c r="AK2103">
        <v>0</v>
      </c>
      <c r="AL2103">
        <f t="shared" si="32"/>
        <v>1169</v>
      </c>
      <c r="AM2103">
        <f>IF(OR(Table1[[#This Row],[marital_Married]]=1,Table1[[#This Row],[marital_Together]]=1),1,0)</f>
        <v>0</v>
      </c>
      <c r="AN2103" t="str">
        <f>IF(Table1[[#This Row],[Income]]&gt;=70000,"HIGH INCOME","LOW INCOME")</f>
        <v>LOW INCOME</v>
      </c>
      <c r="AO2103" s="1" t="str">
        <f>IF(Table1[[#This Row],[MNT_TOTAL]]&gt;=900,"HIGH VALUE","LOW VALUE")</f>
        <v>HIGH VALUE</v>
      </c>
      <c r="AP21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3" s="1"/>
      <c r="AR2103" s="1"/>
    </row>
    <row r="2104" spans="1:44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55</v>
      </c>
      <c r="X2104">
        <v>2243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384</v>
      </c>
      <c r="AJ2104">
        <v>373</v>
      </c>
      <c r="AK2104">
        <v>0</v>
      </c>
      <c r="AL2104">
        <f t="shared" si="32"/>
        <v>395</v>
      </c>
      <c r="AM2104">
        <f>IF(OR(Table1[[#This Row],[marital_Married]]=1,Table1[[#This Row],[marital_Together]]=1),1,0)</f>
        <v>1</v>
      </c>
      <c r="AN2104" t="str">
        <f>IF(Table1[[#This Row],[Income]]&gt;=70000,"HIGH INCOME","LOW INCOME")</f>
        <v>LOW INCOME</v>
      </c>
      <c r="AO2104" s="1" t="str">
        <f>IF(Table1[[#This Row],[MNT_TOTAL]]&gt;=900,"HIGH VALUE","LOW VALUE")</f>
        <v>LOW VALUE</v>
      </c>
      <c r="AP21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04" s="1"/>
      <c r="AR2104" s="1"/>
    </row>
    <row r="2105" spans="1:44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51</v>
      </c>
      <c r="X2105">
        <v>2429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221</v>
      </c>
      <c r="AJ2105">
        <v>184</v>
      </c>
      <c r="AK2105">
        <v>1</v>
      </c>
      <c r="AL2105">
        <f t="shared" si="32"/>
        <v>258</v>
      </c>
      <c r="AM2105">
        <f>IF(OR(Table1[[#This Row],[marital_Married]]=1,Table1[[#This Row],[marital_Together]]=1),1,0)</f>
        <v>0</v>
      </c>
      <c r="AN2105" t="str">
        <f>IF(Table1[[#This Row],[Income]]&gt;=70000,"HIGH INCOME","LOW INCOME")</f>
        <v>LOW INCOME</v>
      </c>
      <c r="AO2105" s="1" t="str">
        <f>IF(Table1[[#This Row],[MNT_TOTAL]]&gt;=900,"HIGH VALUE","LOW VALUE")</f>
        <v>LOW VALUE</v>
      </c>
      <c r="AP21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5" s="1"/>
      <c r="AR2105" s="1"/>
    </row>
    <row r="2106" spans="1:44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50</v>
      </c>
      <c r="X2106">
        <v>2208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16</v>
      </c>
      <c r="AJ2106">
        <v>7</v>
      </c>
      <c r="AK2106">
        <v>0</v>
      </c>
      <c r="AL2106">
        <f t="shared" si="32"/>
        <v>25</v>
      </c>
      <c r="AM2106">
        <f>IF(OR(Table1[[#This Row],[marital_Married]]=1,Table1[[#This Row],[marital_Together]]=1),1,0)</f>
        <v>0</v>
      </c>
      <c r="AN2106" t="str">
        <f>IF(Table1[[#This Row],[Income]]&gt;=70000,"HIGH INCOME","LOW INCOME")</f>
        <v>LOW INCOME</v>
      </c>
      <c r="AO2106" s="1" t="str">
        <f>IF(Table1[[#This Row],[MNT_TOTAL]]&gt;=900,"HIGH VALUE","LOW VALUE")</f>
        <v>LOW VALUE</v>
      </c>
      <c r="AP21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6" s="1"/>
      <c r="AR2106" s="1"/>
    </row>
    <row r="2107" spans="1:44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66</v>
      </c>
      <c r="X2107">
        <v>2279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180</v>
      </c>
      <c r="AJ2107">
        <v>175</v>
      </c>
      <c r="AK2107">
        <v>0</v>
      </c>
      <c r="AL2107">
        <f t="shared" si="32"/>
        <v>185</v>
      </c>
      <c r="AM2107">
        <f>IF(OR(Table1[[#This Row],[marital_Married]]=1,Table1[[#This Row],[marital_Together]]=1),1,0)</f>
        <v>0</v>
      </c>
      <c r="AN2107" t="str">
        <f>IF(Table1[[#This Row],[Income]]&gt;=70000,"HIGH INCOME","LOW INCOME")</f>
        <v>LOW INCOME</v>
      </c>
      <c r="AO2107" s="1" t="str">
        <f>IF(Table1[[#This Row],[MNT_TOTAL]]&gt;=900,"HIGH VALUE","LOW VALUE")</f>
        <v>LOW VALUE</v>
      </c>
      <c r="AP210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7" s="1"/>
      <c r="AR2107" s="1"/>
    </row>
    <row r="2108" spans="1:44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54</v>
      </c>
      <c r="X2108">
        <v>2851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116</v>
      </c>
      <c r="AJ2108">
        <v>52</v>
      </c>
      <c r="AK2108">
        <v>0</v>
      </c>
      <c r="AL2108">
        <f t="shared" si="32"/>
        <v>180</v>
      </c>
      <c r="AM2108">
        <f>IF(OR(Table1[[#This Row],[marital_Married]]=1,Table1[[#This Row],[marital_Together]]=1),1,0)</f>
        <v>0</v>
      </c>
      <c r="AN2108" t="str">
        <f>IF(Table1[[#This Row],[Income]]&gt;=70000,"HIGH INCOME","LOW INCOME")</f>
        <v>LOW INCOME</v>
      </c>
      <c r="AO2108" s="1" t="str">
        <f>IF(Table1[[#This Row],[MNT_TOTAL]]&gt;=900,"HIGH VALUE","LOW VALUE")</f>
        <v>LOW VALUE</v>
      </c>
      <c r="AP210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8" s="1"/>
      <c r="AR2108" s="1"/>
    </row>
    <row r="2109" spans="1:44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46</v>
      </c>
      <c r="X2109">
        <v>2309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20</v>
      </c>
      <c r="AJ2109">
        <v>18</v>
      </c>
      <c r="AK2109">
        <v>0</v>
      </c>
      <c r="AL2109">
        <f t="shared" si="32"/>
        <v>22</v>
      </c>
      <c r="AM2109">
        <f>IF(OR(Table1[[#This Row],[marital_Married]]=1,Table1[[#This Row],[marital_Together]]=1),1,0)</f>
        <v>0</v>
      </c>
      <c r="AN2109" t="str">
        <f>IF(Table1[[#This Row],[Income]]&gt;=70000,"HIGH INCOME","LOW INCOME")</f>
        <v>LOW INCOME</v>
      </c>
      <c r="AO2109" s="1" t="str">
        <f>IF(Table1[[#This Row],[MNT_TOTAL]]&gt;=900,"HIGH VALUE","LOW VALUE")</f>
        <v>LOW VALUE</v>
      </c>
      <c r="AP210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09" s="1"/>
      <c r="AR2109" s="1"/>
    </row>
    <row r="2110" spans="1:44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49</v>
      </c>
      <c r="X2110">
        <v>2316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40</v>
      </c>
      <c r="AJ2110">
        <v>36</v>
      </c>
      <c r="AK2110">
        <v>0</v>
      </c>
      <c r="AL2110">
        <f t="shared" si="32"/>
        <v>44</v>
      </c>
      <c r="AM2110">
        <f>IF(OR(Table1[[#This Row],[marital_Married]]=1,Table1[[#This Row],[marital_Together]]=1),1,0)</f>
        <v>1</v>
      </c>
      <c r="AN2110" t="str">
        <f>IF(Table1[[#This Row],[Income]]&gt;=70000,"HIGH INCOME","LOW INCOME")</f>
        <v>LOW INCOME</v>
      </c>
      <c r="AO2110" s="1" t="str">
        <f>IF(Table1[[#This Row],[MNT_TOTAL]]&gt;=900,"HIGH VALUE","LOW VALUE")</f>
        <v>LOW VALUE</v>
      </c>
      <c r="AP211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0" s="1"/>
      <c r="AR2110" s="1"/>
    </row>
    <row r="2111" spans="1:44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52</v>
      </c>
      <c r="X2111">
        <v>2672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67</v>
      </c>
      <c r="AJ2111">
        <v>40</v>
      </c>
      <c r="AK2111">
        <v>0</v>
      </c>
      <c r="AL2111">
        <f t="shared" si="32"/>
        <v>94</v>
      </c>
      <c r="AM2111">
        <f>IF(OR(Table1[[#This Row],[marital_Married]]=1,Table1[[#This Row],[marital_Together]]=1),1,0)</f>
        <v>0</v>
      </c>
      <c r="AN2111" t="str">
        <f>IF(Table1[[#This Row],[Income]]&gt;=70000,"HIGH INCOME","LOW INCOME")</f>
        <v>LOW INCOME</v>
      </c>
      <c r="AO2111" s="1" t="str">
        <f>IF(Table1[[#This Row],[MNT_TOTAL]]&gt;=900,"HIGH VALUE","LOW VALUE")</f>
        <v>LOW VALUE</v>
      </c>
      <c r="AP211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11" s="1"/>
      <c r="AR2111" s="1"/>
    </row>
    <row r="2112" spans="1:44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63</v>
      </c>
      <c r="X2112">
        <v>2280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56</v>
      </c>
      <c r="AJ2112">
        <v>31</v>
      </c>
      <c r="AK2112">
        <v>0</v>
      </c>
      <c r="AL2112">
        <f t="shared" si="32"/>
        <v>81</v>
      </c>
      <c r="AM2112">
        <f>IF(OR(Table1[[#This Row],[marital_Married]]=1,Table1[[#This Row],[marital_Together]]=1),1,0)</f>
        <v>1</v>
      </c>
      <c r="AN2112" t="str">
        <f>IF(Table1[[#This Row],[Income]]&gt;=70000,"HIGH INCOME","LOW INCOME")</f>
        <v>LOW INCOME</v>
      </c>
      <c r="AO2112" s="1" t="str">
        <f>IF(Table1[[#This Row],[MNT_TOTAL]]&gt;=900,"HIGH VALUE","LOW VALUE")</f>
        <v>LOW VALUE</v>
      </c>
      <c r="AP211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2" s="1"/>
      <c r="AR2112" s="1"/>
    </row>
    <row r="2113" spans="1:44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47</v>
      </c>
      <c r="X2113">
        <v>2322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768</v>
      </c>
      <c r="AJ2113">
        <v>738</v>
      </c>
      <c r="AK2113">
        <v>2</v>
      </c>
      <c r="AL2113">
        <f t="shared" si="32"/>
        <v>798</v>
      </c>
      <c r="AM2113">
        <f>IF(OR(Table1[[#This Row],[marital_Married]]=1,Table1[[#This Row],[marital_Together]]=1),1,0)</f>
        <v>0</v>
      </c>
      <c r="AN2113" t="str">
        <f>IF(Table1[[#This Row],[Income]]&gt;=70000,"HIGH INCOME","LOW INCOME")</f>
        <v>LOW INCOME</v>
      </c>
      <c r="AO2113" s="1" t="str">
        <f>IF(Table1[[#This Row],[MNT_TOTAL]]&gt;=900,"HIGH VALUE","LOW VALUE")</f>
        <v>LOW VALUE</v>
      </c>
      <c r="AP211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13" s="1"/>
      <c r="AR2113" s="1"/>
    </row>
    <row r="2114" spans="1:44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1</v>
      </c>
      <c r="W2114">
        <v>63</v>
      </c>
      <c r="X2114">
        <v>2377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1237</v>
      </c>
      <c r="AJ2114">
        <v>1140</v>
      </c>
      <c r="AK2114">
        <v>1</v>
      </c>
      <c r="AL2114">
        <f t="shared" ref="AL2114:AL2177" si="33">SUM(E2114:J2114)</f>
        <v>1334</v>
      </c>
      <c r="AM2114">
        <f>IF(OR(Table1[[#This Row],[marital_Married]]=1,Table1[[#This Row],[marital_Together]]=1),1,0)</f>
        <v>0</v>
      </c>
      <c r="AN2114" t="str">
        <f>IF(Table1[[#This Row],[Income]]&gt;=70000,"HIGH INCOME","LOW INCOME")</f>
        <v>HIGH INCOME</v>
      </c>
      <c r="AO2114" s="1" t="str">
        <f>IF(Table1[[#This Row],[MNT_TOTAL]]&gt;=900,"HIGH VALUE","LOW VALUE")</f>
        <v>HIGH VALUE</v>
      </c>
      <c r="AP211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14" s="1"/>
      <c r="AR2114" s="1"/>
    </row>
    <row r="2115" spans="1:44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49</v>
      </c>
      <c r="X2115">
        <v>2255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</v>
      </c>
      <c r="AI2115">
        <v>34</v>
      </c>
      <c r="AJ2115">
        <v>30</v>
      </c>
      <c r="AK2115">
        <v>0</v>
      </c>
      <c r="AL2115">
        <f t="shared" si="33"/>
        <v>38</v>
      </c>
      <c r="AM2115">
        <f>IF(OR(Table1[[#This Row],[marital_Married]]=1,Table1[[#This Row],[marital_Together]]=1),1,0)</f>
        <v>1</v>
      </c>
      <c r="AN2115" t="str">
        <f>IF(Table1[[#This Row],[Income]]&gt;=70000,"HIGH INCOME","LOW INCOME")</f>
        <v>LOW INCOME</v>
      </c>
      <c r="AO2115" s="1" t="str">
        <f>IF(Table1[[#This Row],[MNT_TOTAL]]&gt;=900,"HIGH VALUE","LOW VALUE")</f>
        <v>LOW VALUE</v>
      </c>
      <c r="AP211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5" s="1"/>
      <c r="AR2115" s="1"/>
    </row>
    <row r="2116" spans="1:44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60</v>
      </c>
      <c r="X2116">
        <v>2256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52</v>
      </c>
      <c r="AJ2116">
        <v>43</v>
      </c>
      <c r="AK2116">
        <v>0</v>
      </c>
      <c r="AL2116">
        <f t="shared" si="33"/>
        <v>61</v>
      </c>
      <c r="AM2116">
        <f>IF(OR(Table1[[#This Row],[marital_Married]]=1,Table1[[#This Row],[marital_Together]]=1),1,0)</f>
        <v>1</v>
      </c>
      <c r="AN2116" t="str">
        <f>IF(Table1[[#This Row],[Income]]&gt;=70000,"HIGH INCOME","LOW INCOME")</f>
        <v>LOW INCOME</v>
      </c>
      <c r="AO2116" s="1" t="str">
        <f>IF(Table1[[#This Row],[MNT_TOTAL]]&gt;=900,"HIGH VALUE","LOW VALUE")</f>
        <v>LOW VALUE</v>
      </c>
      <c r="AP211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6" s="1"/>
      <c r="AR2116" s="1"/>
    </row>
    <row r="2117" spans="1:44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47</v>
      </c>
      <c r="X2117">
        <v>2517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295</v>
      </c>
      <c r="AJ2117">
        <v>290</v>
      </c>
      <c r="AK2117">
        <v>0</v>
      </c>
      <c r="AL2117">
        <f t="shared" si="33"/>
        <v>300</v>
      </c>
      <c r="AM2117">
        <f>IF(OR(Table1[[#This Row],[marital_Married]]=1,Table1[[#This Row],[marital_Together]]=1),1,0)</f>
        <v>1</v>
      </c>
      <c r="AN2117" t="str">
        <f>IF(Table1[[#This Row],[Income]]&gt;=70000,"HIGH INCOME","LOW INCOME")</f>
        <v>LOW INCOME</v>
      </c>
      <c r="AO2117" s="1" t="str">
        <f>IF(Table1[[#This Row],[MNT_TOTAL]]&gt;=900,"HIGH VALUE","LOW VALUE")</f>
        <v>LOW VALUE</v>
      </c>
      <c r="AP211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7" s="1"/>
      <c r="AR2117" s="1"/>
    </row>
    <row r="2118" spans="1:44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58</v>
      </c>
      <c r="X2118">
        <v>2419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88</v>
      </c>
      <c r="AJ2118">
        <v>88</v>
      </c>
      <c r="AK2118">
        <v>0</v>
      </c>
      <c r="AL2118">
        <f t="shared" si="33"/>
        <v>88</v>
      </c>
      <c r="AM2118">
        <f>IF(OR(Table1[[#This Row],[marital_Married]]=1,Table1[[#This Row],[marital_Together]]=1),1,0)</f>
        <v>1</v>
      </c>
      <c r="AN2118" t="str">
        <f>IF(Table1[[#This Row],[Income]]&gt;=70000,"HIGH INCOME","LOW INCOME")</f>
        <v>LOW INCOME</v>
      </c>
      <c r="AO2118" s="1" t="str">
        <f>IF(Table1[[#This Row],[MNT_TOTAL]]&gt;=900,"HIGH VALUE","LOW VALUE")</f>
        <v>LOW VALUE</v>
      </c>
      <c r="AP211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8" s="1"/>
      <c r="AR2118" s="1"/>
    </row>
    <row r="2119" spans="1:44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62</v>
      </c>
      <c r="X2119">
        <v>2355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53</v>
      </c>
      <c r="AJ2119">
        <v>52</v>
      </c>
      <c r="AK2119">
        <v>0</v>
      </c>
      <c r="AL2119">
        <f t="shared" si="33"/>
        <v>54</v>
      </c>
      <c r="AM2119">
        <f>IF(OR(Table1[[#This Row],[marital_Married]]=1,Table1[[#This Row],[marital_Together]]=1),1,0)</f>
        <v>1</v>
      </c>
      <c r="AN2119" t="str">
        <f>IF(Table1[[#This Row],[Income]]&gt;=70000,"HIGH INCOME","LOW INCOME")</f>
        <v>LOW INCOME</v>
      </c>
      <c r="AO2119" s="1" t="str">
        <f>IF(Table1[[#This Row],[MNT_TOTAL]]&gt;=900,"HIGH VALUE","LOW VALUE")</f>
        <v>LOW VALUE</v>
      </c>
      <c r="AP211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19" s="1"/>
      <c r="AR2119" s="1"/>
    </row>
    <row r="2120" spans="1:44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48</v>
      </c>
      <c r="X2120">
        <v>2809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1654</v>
      </c>
      <c r="AJ2120">
        <v>1526</v>
      </c>
      <c r="AK2120">
        <v>1</v>
      </c>
      <c r="AL2120">
        <f t="shared" si="33"/>
        <v>1782</v>
      </c>
      <c r="AM2120">
        <f>IF(OR(Table1[[#This Row],[marital_Married]]=1,Table1[[#This Row],[marital_Together]]=1),1,0)</f>
        <v>1</v>
      </c>
      <c r="AN2120" t="str">
        <f>IF(Table1[[#This Row],[Income]]&gt;=70000,"HIGH INCOME","LOW INCOME")</f>
        <v>LOW INCOME</v>
      </c>
      <c r="AO2120" s="1" t="str">
        <f>IF(Table1[[#This Row],[MNT_TOTAL]]&gt;=900,"HIGH VALUE","LOW VALUE")</f>
        <v>HIGH VALUE</v>
      </c>
      <c r="AP212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20" s="1"/>
      <c r="AR2120" s="1"/>
    </row>
    <row r="2121" spans="1:44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44</v>
      </c>
      <c r="X2121">
        <v>2311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52</v>
      </c>
      <c r="AJ2121">
        <v>36</v>
      </c>
      <c r="AK2121">
        <v>0</v>
      </c>
      <c r="AL2121">
        <f t="shared" si="33"/>
        <v>68</v>
      </c>
      <c r="AM2121">
        <f>IF(OR(Table1[[#This Row],[marital_Married]]=1,Table1[[#This Row],[marital_Together]]=1),1,0)</f>
        <v>1</v>
      </c>
      <c r="AN2121" t="str">
        <f>IF(Table1[[#This Row],[Income]]&gt;=70000,"HIGH INCOME","LOW INCOME")</f>
        <v>LOW INCOME</v>
      </c>
      <c r="AO2121" s="1" t="str">
        <f>IF(Table1[[#This Row],[MNT_TOTAL]]&gt;=900,"HIGH VALUE","LOW VALUE")</f>
        <v>LOW VALUE</v>
      </c>
      <c r="AP212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1" s="1"/>
      <c r="AR2121" s="1"/>
    </row>
    <row r="2122" spans="1:44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51</v>
      </c>
      <c r="X2122">
        <v>2429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221</v>
      </c>
      <c r="AJ2122">
        <v>184</v>
      </c>
      <c r="AK2122">
        <v>1</v>
      </c>
      <c r="AL2122">
        <f t="shared" si="33"/>
        <v>258</v>
      </c>
      <c r="AM2122">
        <f>IF(OR(Table1[[#This Row],[marital_Married]]=1,Table1[[#This Row],[marital_Together]]=1),1,0)</f>
        <v>0</v>
      </c>
      <c r="AN2122" t="str">
        <f>IF(Table1[[#This Row],[Income]]&gt;=70000,"HIGH INCOME","LOW INCOME")</f>
        <v>LOW INCOME</v>
      </c>
      <c r="AO2122" s="1" t="str">
        <f>IF(Table1[[#This Row],[MNT_TOTAL]]&gt;=900,"HIGH VALUE","LOW VALUE")</f>
        <v>LOW VALUE</v>
      </c>
      <c r="AP212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22" s="1"/>
      <c r="AR2122" s="1"/>
    </row>
    <row r="2123" spans="1:44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44</v>
      </c>
      <c r="X2123">
        <v>2526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24</v>
      </c>
      <c r="AJ2123">
        <v>17</v>
      </c>
      <c r="AK2123">
        <v>0</v>
      </c>
      <c r="AL2123">
        <f t="shared" si="33"/>
        <v>31</v>
      </c>
      <c r="AM2123">
        <f>IF(OR(Table1[[#This Row],[marital_Married]]=1,Table1[[#This Row],[marital_Together]]=1),1,0)</f>
        <v>1</v>
      </c>
      <c r="AN2123" t="str">
        <f>IF(Table1[[#This Row],[Income]]&gt;=70000,"HIGH INCOME","LOW INCOME")</f>
        <v>LOW INCOME</v>
      </c>
      <c r="AO2123" s="1" t="str">
        <f>IF(Table1[[#This Row],[MNT_TOTAL]]&gt;=900,"HIGH VALUE","LOW VALUE")</f>
        <v>LOW VALUE</v>
      </c>
      <c r="AP212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3" s="1"/>
      <c r="AR2123" s="1"/>
    </row>
    <row r="2124" spans="1:44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37</v>
      </c>
      <c r="X2124">
        <v>2207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63</v>
      </c>
      <c r="AJ2124">
        <v>60</v>
      </c>
      <c r="AK2124">
        <v>0</v>
      </c>
      <c r="AL2124">
        <f t="shared" si="33"/>
        <v>66</v>
      </c>
      <c r="AM2124">
        <f>IF(OR(Table1[[#This Row],[marital_Married]]=1,Table1[[#This Row],[marital_Together]]=1),1,0)</f>
        <v>1</v>
      </c>
      <c r="AN2124" t="str">
        <f>IF(Table1[[#This Row],[Income]]&gt;=70000,"HIGH INCOME","LOW INCOME")</f>
        <v>LOW INCOME</v>
      </c>
      <c r="AO2124" s="1" t="str">
        <f>IF(Table1[[#This Row],[MNT_TOTAL]]&gt;=900,"HIGH VALUE","LOW VALUE")</f>
        <v>LOW VALUE</v>
      </c>
      <c r="AP212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4" s="1"/>
      <c r="AR2124" s="1"/>
    </row>
    <row r="2125" spans="1:44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56</v>
      </c>
      <c r="X2125">
        <v>2220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149</v>
      </c>
      <c r="AJ2125">
        <v>124</v>
      </c>
      <c r="AK2125">
        <v>0</v>
      </c>
      <c r="AL2125">
        <f t="shared" si="33"/>
        <v>174</v>
      </c>
      <c r="AM2125">
        <f>IF(OR(Table1[[#This Row],[marital_Married]]=1,Table1[[#This Row],[marital_Together]]=1),1,0)</f>
        <v>0</v>
      </c>
      <c r="AN2125" t="str">
        <f>IF(Table1[[#This Row],[Income]]&gt;=70000,"HIGH INCOME","LOW INCOME")</f>
        <v>LOW INCOME</v>
      </c>
      <c r="AO2125" s="1" t="str">
        <f>IF(Table1[[#This Row],[MNT_TOTAL]]&gt;=900,"HIGH VALUE","LOW VALUE")</f>
        <v>LOW VALUE</v>
      </c>
      <c r="AP212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25" s="1"/>
      <c r="AR2125" s="1"/>
    </row>
    <row r="2126" spans="1:44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45</v>
      </c>
      <c r="X2126">
        <v>2317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26</v>
      </c>
      <c r="AJ2126">
        <v>24</v>
      </c>
      <c r="AK2126">
        <v>0</v>
      </c>
      <c r="AL2126">
        <f t="shared" si="33"/>
        <v>28</v>
      </c>
      <c r="AM2126">
        <f>IF(OR(Table1[[#This Row],[marital_Married]]=1,Table1[[#This Row],[marital_Together]]=1),1,0)</f>
        <v>1</v>
      </c>
      <c r="AN2126" t="str">
        <f>IF(Table1[[#This Row],[Income]]&gt;=70000,"HIGH INCOME","LOW INCOME")</f>
        <v>LOW INCOME</v>
      </c>
      <c r="AO2126" s="1" t="str">
        <f>IF(Table1[[#This Row],[MNT_TOTAL]]&gt;=900,"HIGH VALUE","LOW VALUE")</f>
        <v>LOW VALUE</v>
      </c>
      <c r="AP212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6" s="1"/>
      <c r="AR2126" s="1"/>
    </row>
    <row r="2127" spans="1:44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65</v>
      </c>
      <c r="X2127">
        <v>2268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724</v>
      </c>
      <c r="AJ2127">
        <v>717</v>
      </c>
      <c r="AK2127">
        <v>1</v>
      </c>
      <c r="AL2127">
        <f t="shared" si="33"/>
        <v>731</v>
      </c>
      <c r="AM2127">
        <f>IF(OR(Table1[[#This Row],[marital_Married]]=1,Table1[[#This Row],[marital_Together]]=1),1,0)</f>
        <v>1</v>
      </c>
      <c r="AN2127" t="str">
        <f>IF(Table1[[#This Row],[Income]]&gt;=70000,"HIGH INCOME","LOW INCOME")</f>
        <v>LOW INCOME</v>
      </c>
      <c r="AO2127" s="1" t="str">
        <f>IF(Table1[[#This Row],[MNT_TOTAL]]&gt;=900,"HIGH VALUE","LOW VALUE")</f>
        <v>LOW VALUE</v>
      </c>
      <c r="AP212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27" s="1"/>
      <c r="AR2127" s="1"/>
    </row>
    <row r="2128" spans="1:44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55</v>
      </c>
      <c r="X2128">
        <v>2314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269</v>
      </c>
      <c r="AJ2128">
        <v>264</v>
      </c>
      <c r="AK2128">
        <v>0</v>
      </c>
      <c r="AL2128">
        <f t="shared" si="33"/>
        <v>274</v>
      </c>
      <c r="AM2128">
        <f>IF(OR(Table1[[#This Row],[marital_Married]]=1,Table1[[#This Row],[marital_Together]]=1),1,0)</f>
        <v>0</v>
      </c>
      <c r="AN2128" t="str">
        <f>IF(Table1[[#This Row],[Income]]&gt;=70000,"HIGH INCOME","LOW INCOME")</f>
        <v>LOW INCOME</v>
      </c>
      <c r="AO2128" s="1" t="str">
        <f>IF(Table1[[#This Row],[MNT_TOTAL]]&gt;=900,"HIGH VALUE","LOW VALUE")</f>
        <v>LOW VALUE</v>
      </c>
      <c r="AP212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28" s="1"/>
      <c r="AR2128" s="1"/>
    </row>
    <row r="2129" spans="1:44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56</v>
      </c>
      <c r="X2129">
        <v>2785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1548</v>
      </c>
      <c r="AJ2129">
        <v>1395</v>
      </c>
      <c r="AK2129">
        <v>0</v>
      </c>
      <c r="AL2129">
        <f t="shared" si="33"/>
        <v>1701</v>
      </c>
      <c r="AM2129">
        <f>IF(OR(Table1[[#This Row],[marital_Married]]=1,Table1[[#This Row],[marital_Together]]=1),1,0)</f>
        <v>1</v>
      </c>
      <c r="AN2129" t="str">
        <f>IF(Table1[[#This Row],[Income]]&gt;=70000,"HIGH INCOME","LOW INCOME")</f>
        <v>LOW INCOME</v>
      </c>
      <c r="AO2129" s="1" t="str">
        <f>IF(Table1[[#This Row],[MNT_TOTAL]]&gt;=900,"HIGH VALUE","LOW VALUE")</f>
        <v>HIGH VALUE</v>
      </c>
      <c r="AP212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29" s="1"/>
      <c r="AR2129" s="1"/>
    </row>
    <row r="2130" spans="1:44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40</v>
      </c>
      <c r="X2130">
        <v>2276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300</v>
      </c>
      <c r="AJ2130">
        <v>288</v>
      </c>
      <c r="AK2130">
        <v>0</v>
      </c>
      <c r="AL2130">
        <f t="shared" si="33"/>
        <v>312</v>
      </c>
      <c r="AM2130">
        <f>IF(OR(Table1[[#This Row],[marital_Married]]=1,Table1[[#This Row],[marital_Together]]=1),1,0)</f>
        <v>1</v>
      </c>
      <c r="AN2130" t="str">
        <f>IF(Table1[[#This Row],[Income]]&gt;=70000,"HIGH INCOME","LOW INCOME")</f>
        <v>LOW INCOME</v>
      </c>
      <c r="AO2130" s="1" t="str">
        <f>IF(Table1[[#This Row],[MNT_TOTAL]]&gt;=900,"HIGH VALUE","LOW VALUE")</f>
        <v>LOW VALUE</v>
      </c>
      <c r="AP213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30" s="1"/>
      <c r="AR2130" s="1"/>
    </row>
    <row r="2131" spans="1:44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63</v>
      </c>
      <c r="X2131">
        <v>2491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395</v>
      </c>
      <c r="AJ2131">
        <v>376</v>
      </c>
      <c r="AK2131">
        <v>0</v>
      </c>
      <c r="AL2131">
        <f t="shared" si="33"/>
        <v>414</v>
      </c>
      <c r="AM2131">
        <f>IF(OR(Table1[[#This Row],[marital_Married]]=1,Table1[[#This Row],[marital_Together]]=1),1,0)</f>
        <v>1</v>
      </c>
      <c r="AN2131" t="str">
        <f>IF(Table1[[#This Row],[Income]]&gt;=70000,"HIGH INCOME","LOW INCOME")</f>
        <v>LOW INCOME</v>
      </c>
      <c r="AO2131" s="1" t="str">
        <f>IF(Table1[[#This Row],[MNT_TOTAL]]&gt;=900,"HIGH VALUE","LOW VALUE")</f>
        <v>LOW VALUE</v>
      </c>
      <c r="AP213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31" s="1"/>
      <c r="AR2131" s="1"/>
    </row>
    <row r="2132" spans="1:44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71</v>
      </c>
      <c r="X2132">
        <v>2550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1492</v>
      </c>
      <c r="AJ2132">
        <v>1419</v>
      </c>
      <c r="AK2132">
        <v>1</v>
      </c>
      <c r="AL2132">
        <f t="shared" si="33"/>
        <v>1565</v>
      </c>
      <c r="AM2132">
        <f>IF(OR(Table1[[#This Row],[marital_Married]]=1,Table1[[#This Row],[marital_Together]]=1),1,0)</f>
        <v>0</v>
      </c>
      <c r="AN2132" t="str">
        <f>IF(Table1[[#This Row],[Income]]&gt;=70000,"HIGH INCOME","LOW INCOME")</f>
        <v>HIGH INCOME</v>
      </c>
      <c r="AO2132" s="1" t="str">
        <f>IF(Table1[[#This Row],[MNT_TOTAL]]&gt;=900,"HIGH VALUE","LOW VALUE")</f>
        <v>HIGH VALUE</v>
      </c>
      <c r="AP213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32" s="1"/>
      <c r="AR2132" s="1"/>
    </row>
    <row r="2133" spans="1:44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28</v>
      </c>
      <c r="X2133">
        <v>2403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16</v>
      </c>
      <c r="AJ2133">
        <v>3</v>
      </c>
      <c r="AK2133">
        <v>0</v>
      </c>
      <c r="AL2133">
        <f t="shared" si="33"/>
        <v>29</v>
      </c>
      <c r="AM2133">
        <f>IF(OR(Table1[[#This Row],[marital_Married]]=1,Table1[[#This Row],[marital_Together]]=1),1,0)</f>
        <v>0</v>
      </c>
      <c r="AN2133" t="str">
        <f>IF(Table1[[#This Row],[Income]]&gt;=70000,"HIGH INCOME","LOW INCOME")</f>
        <v>LOW INCOME</v>
      </c>
      <c r="AO2133" s="1" t="str">
        <f>IF(Table1[[#This Row],[MNT_TOTAL]]&gt;=900,"HIGH VALUE","LOW VALUE")</f>
        <v>LOW VALUE</v>
      </c>
      <c r="AP213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33" s="1"/>
      <c r="AR2133" s="1"/>
    </row>
    <row r="2134" spans="1:44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46</v>
      </c>
      <c r="X2134">
        <v>2529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87</v>
      </c>
      <c r="AJ2134">
        <v>80</v>
      </c>
      <c r="AK2134">
        <v>0</v>
      </c>
      <c r="AL2134">
        <f t="shared" si="33"/>
        <v>94</v>
      </c>
      <c r="AM2134">
        <f>IF(OR(Table1[[#This Row],[marital_Married]]=1,Table1[[#This Row],[marital_Together]]=1),1,0)</f>
        <v>0</v>
      </c>
      <c r="AN2134" t="str">
        <f>IF(Table1[[#This Row],[Income]]&gt;=70000,"HIGH INCOME","LOW INCOME")</f>
        <v>LOW INCOME</v>
      </c>
      <c r="AO2134" s="1" t="str">
        <f>IF(Table1[[#This Row],[MNT_TOTAL]]&gt;=900,"HIGH VALUE","LOW VALUE")</f>
        <v>LOW VALUE</v>
      </c>
      <c r="AP213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34" s="1"/>
      <c r="AR2134" s="1"/>
    </row>
    <row r="2135" spans="1:44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66</v>
      </c>
      <c r="X2135">
        <v>2659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1188</v>
      </c>
      <c r="AJ2135">
        <v>1038</v>
      </c>
      <c r="AK2135">
        <v>0</v>
      </c>
      <c r="AL2135">
        <f t="shared" si="33"/>
        <v>1338</v>
      </c>
      <c r="AM2135">
        <f>IF(OR(Table1[[#This Row],[marital_Married]]=1,Table1[[#This Row],[marital_Together]]=1),1,0)</f>
        <v>0</v>
      </c>
      <c r="AN2135" t="str">
        <f>IF(Table1[[#This Row],[Income]]&gt;=70000,"HIGH INCOME","LOW INCOME")</f>
        <v>HIGH INCOME</v>
      </c>
      <c r="AO2135" s="1" t="str">
        <f>IF(Table1[[#This Row],[MNT_TOTAL]]&gt;=900,"HIGH VALUE","LOW VALUE")</f>
        <v>HIGH VALUE</v>
      </c>
      <c r="AP213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35" s="1"/>
      <c r="AR2135" s="1"/>
    </row>
    <row r="2136" spans="1:44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1</v>
      </c>
      <c r="W2136">
        <v>30</v>
      </c>
      <c r="X2136">
        <v>2618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1036</v>
      </c>
      <c r="AJ2136">
        <v>980</v>
      </c>
      <c r="AK2136">
        <v>4</v>
      </c>
      <c r="AL2136">
        <f t="shared" si="33"/>
        <v>1092</v>
      </c>
      <c r="AM2136">
        <f>IF(OR(Table1[[#This Row],[marital_Married]]=1,Table1[[#This Row],[marital_Together]]=1),1,0)</f>
        <v>0</v>
      </c>
      <c r="AN2136" t="str">
        <f>IF(Table1[[#This Row],[Income]]&gt;=70000,"HIGH INCOME","LOW INCOME")</f>
        <v>HIGH INCOME</v>
      </c>
      <c r="AO2136" s="1" t="str">
        <f>IF(Table1[[#This Row],[MNT_TOTAL]]&gt;=900,"HIGH VALUE","LOW VALUE")</f>
        <v>HIGH VALUE</v>
      </c>
      <c r="AP213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36" s="1"/>
      <c r="AR2136" s="1"/>
    </row>
    <row r="2137" spans="1:44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36</v>
      </c>
      <c r="X2137">
        <v>2347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1238</v>
      </c>
      <c r="AJ2137">
        <v>997</v>
      </c>
      <c r="AK2137">
        <v>3</v>
      </c>
      <c r="AL2137">
        <f t="shared" si="33"/>
        <v>1479</v>
      </c>
      <c r="AM2137">
        <f>IF(OR(Table1[[#This Row],[marital_Married]]=1,Table1[[#This Row],[marital_Together]]=1),1,0)</f>
        <v>1</v>
      </c>
      <c r="AN2137" t="str">
        <f>IF(Table1[[#This Row],[Income]]&gt;=70000,"HIGH INCOME","LOW INCOME")</f>
        <v>HIGH INCOME</v>
      </c>
      <c r="AO2137" s="1" t="str">
        <f>IF(Table1[[#This Row],[MNT_TOTAL]]&gt;=900,"HIGH VALUE","LOW VALUE")</f>
        <v>HIGH VALUE</v>
      </c>
      <c r="AP213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37" s="1"/>
      <c r="AR2137" s="1"/>
    </row>
    <row r="2138" spans="1:44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39</v>
      </c>
      <c r="X2138">
        <v>2377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39</v>
      </c>
      <c r="AJ2138">
        <v>24</v>
      </c>
      <c r="AK2138">
        <v>0</v>
      </c>
      <c r="AL2138">
        <f t="shared" si="33"/>
        <v>54</v>
      </c>
      <c r="AM2138">
        <f>IF(OR(Table1[[#This Row],[marital_Married]]=1,Table1[[#This Row],[marital_Together]]=1),1,0)</f>
        <v>0</v>
      </c>
      <c r="AN2138" t="str">
        <f>IF(Table1[[#This Row],[Income]]&gt;=70000,"HIGH INCOME","LOW INCOME")</f>
        <v>LOW INCOME</v>
      </c>
      <c r="AO2138" s="1" t="str">
        <f>IF(Table1[[#This Row],[MNT_TOTAL]]&gt;=900,"HIGH VALUE","LOW VALUE")</f>
        <v>LOW VALUE</v>
      </c>
      <c r="AP213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38" s="1"/>
      <c r="AR2138" s="1"/>
    </row>
    <row r="2139" spans="1:44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55</v>
      </c>
      <c r="X2139">
        <v>2275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0</v>
      </c>
      <c r="AI2139">
        <v>547</v>
      </c>
      <c r="AJ2139">
        <v>526</v>
      </c>
      <c r="AK2139">
        <v>1</v>
      </c>
      <c r="AL2139">
        <f t="shared" si="33"/>
        <v>568</v>
      </c>
      <c r="AM2139">
        <f>IF(OR(Table1[[#This Row],[marital_Married]]=1,Table1[[#This Row],[marital_Together]]=1),1,0)</f>
        <v>0</v>
      </c>
      <c r="AN2139" t="str">
        <f>IF(Table1[[#This Row],[Income]]&gt;=70000,"HIGH INCOME","LOW INCOME")</f>
        <v>LOW INCOME</v>
      </c>
      <c r="AO2139" s="1" t="str">
        <f>IF(Table1[[#This Row],[MNT_TOTAL]]&gt;=900,"HIGH VALUE","LOW VALUE")</f>
        <v>LOW VALUE</v>
      </c>
      <c r="AP213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39" s="1"/>
      <c r="AR2139" s="1"/>
    </row>
    <row r="2140" spans="1:44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1</v>
      </c>
      <c r="W2140">
        <v>50</v>
      </c>
      <c r="X2140">
        <v>2525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1070</v>
      </c>
      <c r="AJ2140">
        <v>941</v>
      </c>
      <c r="AK2140">
        <v>3</v>
      </c>
      <c r="AL2140">
        <f t="shared" si="33"/>
        <v>1199</v>
      </c>
      <c r="AM2140">
        <f>IF(OR(Table1[[#This Row],[marital_Married]]=1,Table1[[#This Row],[marital_Together]]=1),1,0)</f>
        <v>0</v>
      </c>
      <c r="AN2140" t="str">
        <f>IF(Table1[[#This Row],[Income]]&gt;=70000,"HIGH INCOME","LOW INCOME")</f>
        <v>LOW INCOME</v>
      </c>
      <c r="AO2140" s="1" t="str">
        <f>IF(Table1[[#This Row],[MNT_TOTAL]]&gt;=900,"HIGH VALUE","LOW VALUE")</f>
        <v>HIGH VALUE</v>
      </c>
      <c r="AP214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40" s="1"/>
      <c r="AR2140" s="1"/>
    </row>
    <row r="2141" spans="1:44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45</v>
      </c>
      <c r="X2141">
        <v>2322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819</v>
      </c>
      <c r="AJ2141">
        <v>765</v>
      </c>
      <c r="AK2141">
        <v>0</v>
      </c>
      <c r="AL2141">
        <f t="shared" si="33"/>
        <v>873</v>
      </c>
      <c r="AM2141">
        <f>IF(OR(Table1[[#This Row],[marital_Married]]=1,Table1[[#This Row],[marital_Together]]=1),1,0)</f>
        <v>1</v>
      </c>
      <c r="AN2141" t="str">
        <f>IF(Table1[[#This Row],[Income]]&gt;=70000,"HIGH INCOME","LOW INCOME")</f>
        <v>LOW INCOME</v>
      </c>
      <c r="AO2141" s="1" t="str">
        <f>IF(Table1[[#This Row],[MNT_TOTAL]]&gt;=900,"HIGH VALUE","LOW VALUE")</f>
        <v>LOW VALUE</v>
      </c>
      <c r="AP214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1" s="1"/>
      <c r="AR2141" s="1"/>
    </row>
    <row r="2142" spans="1:44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69</v>
      </c>
      <c r="X2142">
        <v>2494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965</v>
      </c>
      <c r="AJ2142">
        <v>717</v>
      </c>
      <c r="AK2142">
        <v>0</v>
      </c>
      <c r="AL2142">
        <f t="shared" si="33"/>
        <v>1213</v>
      </c>
      <c r="AM2142">
        <f>IF(OR(Table1[[#This Row],[marital_Married]]=1,Table1[[#This Row],[marital_Together]]=1),1,0)</f>
        <v>1</v>
      </c>
      <c r="AN2142" t="str">
        <f>IF(Table1[[#This Row],[Income]]&gt;=70000,"HIGH INCOME","LOW INCOME")</f>
        <v>HIGH INCOME</v>
      </c>
      <c r="AO2142" s="1" t="str">
        <f>IF(Table1[[#This Row],[MNT_TOTAL]]&gt;=900,"HIGH VALUE","LOW VALUE")</f>
        <v>HIGH VALUE</v>
      </c>
      <c r="AP214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42" s="1"/>
      <c r="AR2142" s="1"/>
    </row>
    <row r="2143" spans="1:44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65</v>
      </c>
      <c r="X2143">
        <v>2270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703</v>
      </c>
      <c r="AJ2143">
        <v>675</v>
      </c>
      <c r="AK2143">
        <v>2</v>
      </c>
      <c r="AL2143">
        <f t="shared" si="33"/>
        <v>731</v>
      </c>
      <c r="AM2143">
        <f>IF(OR(Table1[[#This Row],[marital_Married]]=1,Table1[[#This Row],[marital_Together]]=1),1,0)</f>
        <v>1</v>
      </c>
      <c r="AN2143" t="str">
        <f>IF(Table1[[#This Row],[Income]]&gt;=70000,"HIGH INCOME","LOW INCOME")</f>
        <v>LOW INCOME</v>
      </c>
      <c r="AO2143" s="1" t="str">
        <f>IF(Table1[[#This Row],[MNT_TOTAL]]&gt;=900,"HIGH VALUE","LOW VALUE")</f>
        <v>LOW VALUE</v>
      </c>
      <c r="AP214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3" s="1"/>
      <c r="AR2143" s="1"/>
    </row>
    <row r="2144" spans="1:44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1</v>
      </c>
      <c r="W2144">
        <v>45</v>
      </c>
      <c r="X2144">
        <v>2693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1914</v>
      </c>
      <c r="AJ2144">
        <v>1785</v>
      </c>
      <c r="AK2144">
        <v>2</v>
      </c>
      <c r="AL2144">
        <f t="shared" si="33"/>
        <v>2043</v>
      </c>
      <c r="AM2144">
        <f>IF(OR(Table1[[#This Row],[marital_Married]]=1,Table1[[#This Row],[marital_Together]]=1),1,0)</f>
        <v>1</v>
      </c>
      <c r="AN2144" t="str">
        <f>IF(Table1[[#This Row],[Income]]&gt;=70000,"HIGH INCOME","LOW INCOME")</f>
        <v>HIGH INCOME</v>
      </c>
      <c r="AO2144" s="1" t="str">
        <f>IF(Table1[[#This Row],[MNT_TOTAL]]&gt;=900,"HIGH VALUE","LOW VALUE")</f>
        <v>HIGH VALUE</v>
      </c>
      <c r="AP214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44" s="1"/>
      <c r="AR2144" s="1"/>
    </row>
    <row r="2145" spans="1:44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53</v>
      </c>
      <c r="X2145">
        <v>2713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1790</v>
      </c>
      <c r="AJ2145">
        <v>1687</v>
      </c>
      <c r="AK2145">
        <v>0</v>
      </c>
      <c r="AL2145">
        <f t="shared" si="33"/>
        <v>1893</v>
      </c>
      <c r="AM2145">
        <f>IF(OR(Table1[[#This Row],[marital_Married]]=1,Table1[[#This Row],[marital_Together]]=1),1,0)</f>
        <v>0</v>
      </c>
      <c r="AN2145" t="str">
        <f>IF(Table1[[#This Row],[Income]]&gt;=70000,"HIGH INCOME","LOW INCOME")</f>
        <v>HIGH INCOME</v>
      </c>
      <c r="AO2145" s="1" t="str">
        <f>IF(Table1[[#This Row],[MNT_TOTAL]]&gt;=900,"HIGH VALUE","LOW VALUE")</f>
        <v>HIGH VALUE</v>
      </c>
      <c r="AP214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45" s="1"/>
      <c r="AR2145" s="1"/>
    </row>
    <row r="2146" spans="1:44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47</v>
      </c>
      <c r="X2146">
        <v>2778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382</v>
      </c>
      <c r="AJ2146">
        <v>340</v>
      </c>
      <c r="AK2146">
        <v>0</v>
      </c>
      <c r="AL2146">
        <f t="shared" si="33"/>
        <v>424</v>
      </c>
      <c r="AM2146">
        <f>IF(OR(Table1[[#This Row],[marital_Married]]=1,Table1[[#This Row],[marital_Together]]=1),1,0)</f>
        <v>0</v>
      </c>
      <c r="AN2146" t="str">
        <f>IF(Table1[[#This Row],[Income]]&gt;=70000,"HIGH INCOME","LOW INCOME")</f>
        <v>LOW INCOME</v>
      </c>
      <c r="AO2146" s="1" t="str">
        <f>IF(Table1[[#This Row],[MNT_TOTAL]]&gt;=900,"HIGH VALUE","LOW VALUE")</f>
        <v>LOW VALUE</v>
      </c>
      <c r="AP214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46" s="1"/>
      <c r="AR2146" s="1"/>
    </row>
    <row r="2147" spans="1:44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49</v>
      </c>
      <c r="X2147">
        <v>2697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348</v>
      </c>
      <c r="AJ2147">
        <v>121</v>
      </c>
      <c r="AK2147">
        <v>1</v>
      </c>
      <c r="AL2147">
        <f t="shared" si="33"/>
        <v>575</v>
      </c>
      <c r="AM2147">
        <f>IF(OR(Table1[[#This Row],[marital_Married]]=1,Table1[[#This Row],[marital_Together]]=1),1,0)</f>
        <v>1</v>
      </c>
      <c r="AN2147" t="str">
        <f>IF(Table1[[#This Row],[Income]]&gt;=70000,"HIGH INCOME","LOW INCOME")</f>
        <v>LOW INCOME</v>
      </c>
      <c r="AO2147" s="1" t="str">
        <f>IF(Table1[[#This Row],[MNT_TOTAL]]&gt;=900,"HIGH VALUE","LOW VALUE")</f>
        <v>LOW VALUE</v>
      </c>
      <c r="AP214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7" s="1"/>
      <c r="AR2147" s="1"/>
    </row>
    <row r="2148" spans="1:44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65</v>
      </c>
      <c r="X2148">
        <v>2407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216</v>
      </c>
      <c r="AJ2148">
        <v>175</v>
      </c>
      <c r="AK2148">
        <v>0</v>
      </c>
      <c r="AL2148">
        <f t="shared" si="33"/>
        <v>257</v>
      </c>
      <c r="AM2148">
        <f>IF(OR(Table1[[#This Row],[marital_Married]]=1,Table1[[#This Row],[marital_Together]]=1),1,0)</f>
        <v>1</v>
      </c>
      <c r="AN2148" t="str">
        <f>IF(Table1[[#This Row],[Income]]&gt;=70000,"HIGH INCOME","LOW INCOME")</f>
        <v>LOW INCOME</v>
      </c>
      <c r="AO2148" s="1" t="str">
        <f>IF(Table1[[#This Row],[MNT_TOTAL]]&gt;=900,"HIGH VALUE","LOW VALUE")</f>
        <v>LOW VALUE</v>
      </c>
      <c r="AP214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8" s="1"/>
      <c r="AR2148" s="1"/>
    </row>
    <row r="2149" spans="1:44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46</v>
      </c>
      <c r="X2149">
        <v>2396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44</v>
      </c>
      <c r="AJ2149">
        <v>32</v>
      </c>
      <c r="AK2149">
        <v>0</v>
      </c>
      <c r="AL2149">
        <f t="shared" si="33"/>
        <v>56</v>
      </c>
      <c r="AM2149">
        <f>IF(OR(Table1[[#This Row],[marital_Married]]=1,Table1[[#This Row],[marital_Together]]=1),1,0)</f>
        <v>1</v>
      </c>
      <c r="AN2149" t="str">
        <f>IF(Table1[[#This Row],[Income]]&gt;=70000,"HIGH INCOME","LOW INCOME")</f>
        <v>LOW INCOME</v>
      </c>
      <c r="AO2149" s="1" t="str">
        <f>IF(Table1[[#This Row],[MNT_TOTAL]]&gt;=900,"HIGH VALUE","LOW VALUE")</f>
        <v>LOW VALUE</v>
      </c>
      <c r="AP214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49" s="1"/>
      <c r="AR2149" s="1"/>
    </row>
    <row r="2150" spans="1:44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48</v>
      </c>
      <c r="X2150">
        <v>2638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537</v>
      </c>
      <c r="AJ2150">
        <v>532</v>
      </c>
      <c r="AK2150">
        <v>1</v>
      </c>
      <c r="AL2150">
        <f t="shared" si="33"/>
        <v>542</v>
      </c>
      <c r="AM2150">
        <f>IF(OR(Table1[[#This Row],[marital_Married]]=1,Table1[[#This Row],[marital_Together]]=1),1,0)</f>
        <v>1</v>
      </c>
      <c r="AN2150" t="str">
        <f>IF(Table1[[#This Row],[Income]]&gt;=70000,"HIGH INCOME","LOW INCOME")</f>
        <v>LOW INCOME</v>
      </c>
      <c r="AO2150" s="1" t="str">
        <f>IF(Table1[[#This Row],[MNT_TOTAL]]&gt;=900,"HIGH VALUE","LOW VALUE")</f>
        <v>LOW VALUE</v>
      </c>
      <c r="AP215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50" s="1"/>
      <c r="AR2150" s="1"/>
    </row>
    <row r="2151" spans="1:44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56</v>
      </c>
      <c r="X2151">
        <v>2226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90</v>
      </c>
      <c r="AJ2151">
        <v>55</v>
      </c>
      <c r="AK2151">
        <v>0</v>
      </c>
      <c r="AL2151">
        <f t="shared" si="33"/>
        <v>125</v>
      </c>
      <c r="AM2151">
        <f>IF(OR(Table1[[#This Row],[marital_Married]]=1,Table1[[#This Row],[marital_Together]]=1),1,0)</f>
        <v>1</v>
      </c>
      <c r="AN2151" t="str">
        <f>IF(Table1[[#This Row],[Income]]&gt;=70000,"HIGH INCOME","LOW INCOME")</f>
        <v>LOW INCOME</v>
      </c>
      <c r="AO2151" s="1" t="str">
        <f>IF(Table1[[#This Row],[MNT_TOTAL]]&gt;=900,"HIGH VALUE","LOW VALUE")</f>
        <v>LOW VALUE</v>
      </c>
      <c r="AP215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51" s="1"/>
      <c r="AR2151" s="1"/>
    </row>
    <row r="2152" spans="1:44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42</v>
      </c>
      <c r="X2152">
        <v>2564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46</v>
      </c>
      <c r="AJ2152">
        <v>23</v>
      </c>
      <c r="AK2152">
        <v>0</v>
      </c>
      <c r="AL2152">
        <f t="shared" si="33"/>
        <v>69</v>
      </c>
      <c r="AM2152">
        <f>IF(OR(Table1[[#This Row],[marital_Married]]=1,Table1[[#This Row],[marital_Together]]=1),1,0)</f>
        <v>0</v>
      </c>
      <c r="AN2152" t="str">
        <f>IF(Table1[[#This Row],[Income]]&gt;=70000,"HIGH INCOME","LOW INCOME")</f>
        <v>LOW INCOME</v>
      </c>
      <c r="AO2152" s="1" t="str">
        <f>IF(Table1[[#This Row],[MNT_TOTAL]]&gt;=900,"HIGH VALUE","LOW VALUE")</f>
        <v>LOW VALUE</v>
      </c>
      <c r="AP215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52" s="1"/>
      <c r="AR2152" s="1"/>
    </row>
    <row r="2153" spans="1:44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63</v>
      </c>
      <c r="X2153">
        <v>2262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40</v>
      </c>
      <c r="AJ2153">
        <v>40</v>
      </c>
      <c r="AK2153">
        <v>0</v>
      </c>
      <c r="AL2153">
        <f t="shared" si="33"/>
        <v>40</v>
      </c>
      <c r="AM2153">
        <f>IF(OR(Table1[[#This Row],[marital_Married]]=1,Table1[[#This Row],[marital_Together]]=1),1,0)</f>
        <v>1</v>
      </c>
      <c r="AN2153" t="str">
        <f>IF(Table1[[#This Row],[Income]]&gt;=70000,"HIGH INCOME","LOW INCOME")</f>
        <v>LOW INCOME</v>
      </c>
      <c r="AO2153" s="1" t="str">
        <f>IF(Table1[[#This Row],[MNT_TOTAL]]&gt;=900,"HIGH VALUE","LOW VALUE")</f>
        <v>LOW VALUE</v>
      </c>
      <c r="AP215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53" s="1"/>
      <c r="AR2153" s="1"/>
    </row>
    <row r="2154" spans="1:44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60</v>
      </c>
      <c r="X2154">
        <v>2694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960</v>
      </c>
      <c r="AJ2154">
        <v>904</v>
      </c>
      <c r="AK2154">
        <v>1</v>
      </c>
      <c r="AL2154">
        <f t="shared" si="33"/>
        <v>1016</v>
      </c>
      <c r="AM2154">
        <f>IF(OR(Table1[[#This Row],[marital_Married]]=1,Table1[[#This Row],[marital_Together]]=1),1,0)</f>
        <v>1</v>
      </c>
      <c r="AN2154" t="str">
        <f>IF(Table1[[#This Row],[Income]]&gt;=70000,"HIGH INCOME","LOW INCOME")</f>
        <v>LOW INCOME</v>
      </c>
      <c r="AO2154" s="1" t="str">
        <f>IF(Table1[[#This Row],[MNT_TOTAL]]&gt;=900,"HIGH VALUE","LOW VALUE")</f>
        <v>HIGH VALUE</v>
      </c>
      <c r="AP215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54" s="1"/>
      <c r="AR2154" s="1"/>
    </row>
    <row r="2155" spans="1:44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48</v>
      </c>
      <c r="X2155">
        <v>2302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866</v>
      </c>
      <c r="AJ2155">
        <v>825</v>
      </c>
      <c r="AK2155">
        <v>1</v>
      </c>
      <c r="AL2155">
        <f t="shared" si="33"/>
        <v>907</v>
      </c>
      <c r="AM2155">
        <f>IF(OR(Table1[[#This Row],[marital_Married]]=1,Table1[[#This Row],[marital_Together]]=1),1,0)</f>
        <v>1</v>
      </c>
      <c r="AN2155" t="str">
        <f>IF(Table1[[#This Row],[Income]]&gt;=70000,"HIGH INCOME","LOW INCOME")</f>
        <v>HIGH INCOME</v>
      </c>
      <c r="AO2155" s="1" t="str">
        <f>IF(Table1[[#This Row],[MNT_TOTAL]]&gt;=900,"HIGH VALUE","LOW VALUE")</f>
        <v>HIGH VALUE</v>
      </c>
      <c r="AP215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55" s="1"/>
      <c r="AR2155" s="1"/>
    </row>
    <row r="2156" spans="1:44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64</v>
      </c>
      <c r="X2156">
        <v>2208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1540</v>
      </c>
      <c r="AJ2156">
        <v>1514</v>
      </c>
      <c r="AK2156">
        <v>1</v>
      </c>
      <c r="AL2156">
        <f t="shared" si="33"/>
        <v>1566</v>
      </c>
      <c r="AM2156">
        <f>IF(OR(Table1[[#This Row],[marital_Married]]=1,Table1[[#This Row],[marital_Together]]=1),1,0)</f>
        <v>1</v>
      </c>
      <c r="AN2156" t="str">
        <f>IF(Table1[[#This Row],[Income]]&gt;=70000,"HIGH INCOME","LOW INCOME")</f>
        <v>HIGH INCOME</v>
      </c>
      <c r="AO2156" s="1" t="str">
        <f>IF(Table1[[#This Row],[MNT_TOTAL]]&gt;=900,"HIGH VALUE","LOW VALUE")</f>
        <v>HIGH VALUE</v>
      </c>
      <c r="AP215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56" s="1"/>
      <c r="AR2156" s="1"/>
    </row>
    <row r="2157" spans="1:44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63</v>
      </c>
      <c r="X2157">
        <v>2329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1006</v>
      </c>
      <c r="AJ2157">
        <v>843</v>
      </c>
      <c r="AK2157">
        <v>0</v>
      </c>
      <c r="AL2157">
        <f t="shared" si="33"/>
        <v>1169</v>
      </c>
      <c r="AM2157">
        <f>IF(OR(Table1[[#This Row],[marital_Married]]=1,Table1[[#This Row],[marital_Together]]=1),1,0)</f>
        <v>1</v>
      </c>
      <c r="AN2157" t="str">
        <f>IF(Table1[[#This Row],[Income]]&gt;=70000,"HIGH INCOME","LOW INCOME")</f>
        <v>LOW INCOME</v>
      </c>
      <c r="AO2157" s="1" t="str">
        <f>IF(Table1[[#This Row],[MNT_TOTAL]]&gt;=900,"HIGH VALUE","LOW VALUE")</f>
        <v>HIGH VALUE</v>
      </c>
      <c r="AP215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57" s="1"/>
      <c r="AR2157" s="1"/>
    </row>
    <row r="2158" spans="1:44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48</v>
      </c>
      <c r="X2158">
        <v>2264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38</v>
      </c>
      <c r="AJ2158">
        <v>30</v>
      </c>
      <c r="AK2158">
        <v>0</v>
      </c>
      <c r="AL2158">
        <f t="shared" si="33"/>
        <v>46</v>
      </c>
      <c r="AM2158">
        <f>IF(OR(Table1[[#This Row],[marital_Married]]=1,Table1[[#This Row],[marital_Together]]=1),1,0)</f>
        <v>1</v>
      </c>
      <c r="AN2158" t="str">
        <f>IF(Table1[[#This Row],[Income]]&gt;=70000,"HIGH INCOME","LOW INCOME")</f>
        <v>LOW INCOME</v>
      </c>
      <c r="AO2158" s="1" t="str">
        <f>IF(Table1[[#This Row],[MNT_TOTAL]]&gt;=900,"HIGH VALUE","LOW VALUE")</f>
        <v>LOW VALUE</v>
      </c>
      <c r="AP215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58" s="1"/>
      <c r="AR2158" s="1"/>
    </row>
    <row r="2159" spans="1:44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37</v>
      </c>
      <c r="X2159">
        <v>2648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1629</v>
      </c>
      <c r="AJ2159">
        <v>1614</v>
      </c>
      <c r="AK2159">
        <v>0</v>
      </c>
      <c r="AL2159">
        <f t="shared" si="33"/>
        <v>1644</v>
      </c>
      <c r="AM2159">
        <f>IF(OR(Table1[[#This Row],[marital_Married]]=1,Table1[[#This Row],[marital_Together]]=1),1,0)</f>
        <v>0</v>
      </c>
      <c r="AN2159" t="str">
        <f>IF(Table1[[#This Row],[Income]]&gt;=70000,"HIGH INCOME","LOW INCOME")</f>
        <v>HIGH INCOME</v>
      </c>
      <c r="AO2159" s="1" t="str">
        <f>IF(Table1[[#This Row],[MNT_TOTAL]]&gt;=900,"HIGH VALUE","LOW VALUE")</f>
        <v>HIGH VALUE</v>
      </c>
      <c r="AP215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59" s="1"/>
      <c r="AR2159" s="1"/>
    </row>
    <row r="2160" spans="1:44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49</v>
      </c>
      <c r="X2160">
        <v>2652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35</v>
      </c>
      <c r="AJ2160">
        <v>11</v>
      </c>
      <c r="AK2160">
        <v>0</v>
      </c>
      <c r="AL2160">
        <f t="shared" si="33"/>
        <v>59</v>
      </c>
      <c r="AM2160">
        <f>IF(OR(Table1[[#This Row],[marital_Married]]=1,Table1[[#This Row],[marital_Together]]=1),1,0)</f>
        <v>0</v>
      </c>
      <c r="AN2160" t="str">
        <f>IF(Table1[[#This Row],[Income]]&gt;=70000,"HIGH INCOME","LOW INCOME")</f>
        <v>LOW INCOME</v>
      </c>
      <c r="AO2160" s="1" t="str">
        <f>IF(Table1[[#This Row],[MNT_TOTAL]]&gt;=900,"HIGH VALUE","LOW VALUE")</f>
        <v>LOW VALUE</v>
      </c>
      <c r="AP216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60" s="1"/>
      <c r="AR2160" s="1"/>
    </row>
    <row r="2161" spans="1:44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73</v>
      </c>
      <c r="X2161">
        <v>2855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17</v>
      </c>
      <c r="AJ2161">
        <v>17</v>
      </c>
      <c r="AK2161">
        <v>0</v>
      </c>
      <c r="AL2161">
        <f t="shared" si="33"/>
        <v>17</v>
      </c>
      <c r="AM2161">
        <f>IF(OR(Table1[[#This Row],[marital_Married]]=1,Table1[[#This Row],[marital_Together]]=1),1,0)</f>
        <v>1</v>
      </c>
      <c r="AN2161" t="str">
        <f>IF(Table1[[#This Row],[Income]]&gt;=70000,"HIGH INCOME","LOW INCOME")</f>
        <v>LOW INCOME</v>
      </c>
      <c r="AO2161" s="1" t="str">
        <f>IF(Table1[[#This Row],[MNT_TOTAL]]&gt;=900,"HIGH VALUE","LOW VALUE")</f>
        <v>LOW VALUE</v>
      </c>
      <c r="AP216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61" s="1"/>
      <c r="AR2161" s="1"/>
    </row>
    <row r="2162" spans="1:44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1</v>
      </c>
      <c r="W2162">
        <v>63</v>
      </c>
      <c r="X2162">
        <v>2759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1790</v>
      </c>
      <c r="AJ2162">
        <v>1727</v>
      </c>
      <c r="AK2162">
        <v>2</v>
      </c>
      <c r="AL2162">
        <f t="shared" si="33"/>
        <v>1853</v>
      </c>
      <c r="AM2162">
        <f>IF(OR(Table1[[#This Row],[marital_Married]]=1,Table1[[#This Row],[marital_Together]]=1),1,0)</f>
        <v>1</v>
      </c>
      <c r="AN2162" t="str">
        <f>IF(Table1[[#This Row],[Income]]&gt;=70000,"HIGH INCOME","LOW INCOME")</f>
        <v>HIGH INCOME</v>
      </c>
      <c r="AO2162" s="1" t="str">
        <f>IF(Table1[[#This Row],[MNT_TOTAL]]&gt;=900,"HIGH VALUE","LOW VALUE")</f>
        <v>HIGH VALUE</v>
      </c>
      <c r="AP216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62" s="1"/>
      <c r="AR2162" s="1"/>
    </row>
    <row r="2163" spans="1:44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63</v>
      </c>
      <c r="X2163">
        <v>2856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1354</v>
      </c>
      <c r="AJ2163">
        <v>1180</v>
      </c>
      <c r="AK2163">
        <v>1</v>
      </c>
      <c r="AL2163">
        <f t="shared" si="33"/>
        <v>1528</v>
      </c>
      <c r="AM2163">
        <f>IF(OR(Table1[[#This Row],[marital_Married]]=1,Table1[[#This Row],[marital_Together]]=1),1,0)</f>
        <v>1</v>
      </c>
      <c r="AN2163" t="str">
        <f>IF(Table1[[#This Row],[Income]]&gt;=70000,"HIGH INCOME","LOW INCOME")</f>
        <v>HIGH INCOME</v>
      </c>
      <c r="AO2163" s="1" t="str">
        <f>IF(Table1[[#This Row],[MNT_TOTAL]]&gt;=900,"HIGH VALUE","LOW VALUE")</f>
        <v>HIGH VALUE</v>
      </c>
      <c r="AP216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63" s="1"/>
      <c r="AR2163" s="1"/>
    </row>
    <row r="2164" spans="1:44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68</v>
      </c>
      <c r="X2164">
        <v>2623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31</v>
      </c>
      <c r="AJ2164">
        <v>27</v>
      </c>
      <c r="AK2164">
        <v>0</v>
      </c>
      <c r="AL2164">
        <f t="shared" si="33"/>
        <v>35</v>
      </c>
      <c r="AM2164">
        <f>IF(OR(Table1[[#This Row],[marital_Married]]=1,Table1[[#This Row],[marital_Together]]=1),1,0)</f>
        <v>0</v>
      </c>
      <c r="AN2164" t="str">
        <f>IF(Table1[[#This Row],[Income]]&gt;=70000,"HIGH INCOME","LOW INCOME")</f>
        <v>LOW INCOME</v>
      </c>
      <c r="AO2164" s="1" t="str">
        <f>IF(Table1[[#This Row],[MNT_TOTAL]]&gt;=900,"HIGH VALUE","LOW VALUE")</f>
        <v>LOW VALUE</v>
      </c>
      <c r="AP216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64" s="1"/>
      <c r="AR2164" s="1"/>
    </row>
    <row r="2165" spans="1:44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46</v>
      </c>
      <c r="X2165">
        <v>2228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123</v>
      </c>
      <c r="AJ2165">
        <v>105</v>
      </c>
      <c r="AK2165">
        <v>0</v>
      </c>
      <c r="AL2165">
        <f t="shared" si="33"/>
        <v>141</v>
      </c>
      <c r="AM2165">
        <f>IF(OR(Table1[[#This Row],[marital_Married]]=1,Table1[[#This Row],[marital_Together]]=1),1,0)</f>
        <v>0</v>
      </c>
      <c r="AN2165" t="str">
        <f>IF(Table1[[#This Row],[Income]]&gt;=70000,"HIGH INCOME","LOW INCOME")</f>
        <v>LOW INCOME</v>
      </c>
      <c r="AO2165" s="1" t="str">
        <f>IF(Table1[[#This Row],[MNT_TOTAL]]&gt;=900,"HIGH VALUE","LOW VALUE")</f>
        <v>LOW VALUE</v>
      </c>
      <c r="AP216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65" s="1"/>
      <c r="AR2165" s="1"/>
    </row>
    <row r="2166" spans="1:44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2471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440</v>
      </c>
      <c r="AJ2166">
        <v>334</v>
      </c>
      <c r="AK2166">
        <v>1</v>
      </c>
      <c r="AL2166">
        <f t="shared" si="33"/>
        <v>546</v>
      </c>
      <c r="AM2166">
        <f>IF(OR(Table1[[#This Row],[marital_Married]]=1,Table1[[#This Row],[marital_Together]]=1),1,0)</f>
        <v>1</v>
      </c>
      <c r="AN2166" t="str">
        <f>IF(Table1[[#This Row],[Income]]&gt;=70000,"HIGH INCOME","LOW INCOME")</f>
        <v>LOW INCOME</v>
      </c>
      <c r="AO2166" s="1" t="str">
        <f>IF(Table1[[#This Row],[MNT_TOTAL]]&gt;=900,"HIGH VALUE","LOW VALUE")</f>
        <v>LOW VALUE</v>
      </c>
      <c r="AP216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66" s="1"/>
      <c r="AR2166" s="1"/>
    </row>
    <row r="2167" spans="1:44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66</v>
      </c>
      <c r="X2167">
        <v>2535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348</v>
      </c>
      <c r="AJ2167">
        <v>196</v>
      </c>
      <c r="AK2167">
        <v>1</v>
      </c>
      <c r="AL2167">
        <f t="shared" si="33"/>
        <v>500</v>
      </c>
      <c r="AM2167">
        <f>IF(OR(Table1[[#This Row],[marital_Married]]=1,Table1[[#This Row],[marital_Together]]=1),1,0)</f>
        <v>1</v>
      </c>
      <c r="AN2167" t="str">
        <f>IF(Table1[[#This Row],[Income]]&gt;=70000,"HIGH INCOME","LOW INCOME")</f>
        <v>LOW INCOME</v>
      </c>
      <c r="AO2167" s="1" t="str">
        <f>IF(Table1[[#This Row],[MNT_TOTAL]]&gt;=900,"HIGH VALUE","LOW VALUE")</f>
        <v>LOW VALUE</v>
      </c>
      <c r="AP216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67" s="1"/>
      <c r="AR2167" s="1"/>
    </row>
    <row r="2168" spans="1:44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45</v>
      </c>
      <c r="X2168">
        <v>2162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58</v>
      </c>
      <c r="AJ2168">
        <v>55</v>
      </c>
      <c r="AK2168">
        <v>0</v>
      </c>
      <c r="AL2168">
        <f t="shared" si="33"/>
        <v>61</v>
      </c>
      <c r="AM2168">
        <f>IF(OR(Table1[[#This Row],[marital_Married]]=1,Table1[[#This Row],[marital_Together]]=1),1,0)</f>
        <v>1</v>
      </c>
      <c r="AN2168" t="str">
        <f>IF(Table1[[#This Row],[Income]]&gt;=70000,"HIGH INCOME","LOW INCOME")</f>
        <v>LOW INCOME</v>
      </c>
      <c r="AO2168" s="1" t="str">
        <f>IF(Table1[[#This Row],[MNT_TOTAL]]&gt;=900,"HIGH VALUE","LOW VALUE")</f>
        <v>LOW VALUE</v>
      </c>
      <c r="AP216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68" s="1"/>
      <c r="AR2168" s="1"/>
    </row>
    <row r="2169" spans="1:44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30</v>
      </c>
      <c r="X2169">
        <v>2487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61</v>
      </c>
      <c r="AJ2169">
        <v>16</v>
      </c>
      <c r="AK2169">
        <v>0</v>
      </c>
      <c r="AL2169">
        <f t="shared" si="33"/>
        <v>106</v>
      </c>
      <c r="AM2169">
        <f>IF(OR(Table1[[#This Row],[marital_Married]]=1,Table1[[#This Row],[marital_Together]]=1),1,0)</f>
        <v>0</v>
      </c>
      <c r="AN2169" t="str">
        <f>IF(Table1[[#This Row],[Income]]&gt;=70000,"HIGH INCOME","LOW INCOME")</f>
        <v>LOW INCOME</v>
      </c>
      <c r="AO2169" s="1" t="str">
        <f>IF(Table1[[#This Row],[MNT_TOTAL]]&gt;=900,"HIGH VALUE","LOW VALUE")</f>
        <v>LOW VALUE</v>
      </c>
      <c r="AP216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69" s="1"/>
      <c r="AR2169" s="1"/>
    </row>
    <row r="2170" spans="1:44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51</v>
      </c>
      <c r="X2170">
        <v>2742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660</v>
      </c>
      <c r="AJ2170">
        <v>616</v>
      </c>
      <c r="AK2170">
        <v>0</v>
      </c>
      <c r="AL2170">
        <f t="shared" si="33"/>
        <v>704</v>
      </c>
      <c r="AM2170">
        <f>IF(OR(Table1[[#This Row],[marital_Married]]=1,Table1[[#This Row],[marital_Together]]=1),1,0)</f>
        <v>0</v>
      </c>
      <c r="AN2170" t="str">
        <f>IF(Table1[[#This Row],[Income]]&gt;=70000,"HIGH INCOME","LOW INCOME")</f>
        <v>LOW INCOME</v>
      </c>
      <c r="AO2170" s="1" t="str">
        <f>IF(Table1[[#This Row],[MNT_TOTAL]]&gt;=900,"HIGH VALUE","LOW VALUE")</f>
        <v>LOW VALUE</v>
      </c>
      <c r="AP217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0" s="1"/>
      <c r="AR2170" s="1"/>
    </row>
    <row r="2171" spans="1:44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47</v>
      </c>
      <c r="X2171">
        <v>2778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382</v>
      </c>
      <c r="AJ2171">
        <v>340</v>
      </c>
      <c r="AK2171">
        <v>0</v>
      </c>
      <c r="AL2171">
        <f t="shared" si="33"/>
        <v>424</v>
      </c>
      <c r="AM2171">
        <f>IF(OR(Table1[[#This Row],[marital_Married]]=1,Table1[[#This Row],[marital_Together]]=1),1,0)</f>
        <v>0</v>
      </c>
      <c r="AN2171" t="str">
        <f>IF(Table1[[#This Row],[Income]]&gt;=70000,"HIGH INCOME","LOW INCOME")</f>
        <v>LOW INCOME</v>
      </c>
      <c r="AO2171" s="1" t="str">
        <f>IF(Table1[[#This Row],[MNT_TOTAL]]&gt;=900,"HIGH VALUE","LOW VALUE")</f>
        <v>LOW VALUE</v>
      </c>
      <c r="AP217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1" s="1"/>
      <c r="AR2171" s="1"/>
    </row>
    <row r="2172" spans="1:44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42</v>
      </c>
      <c r="X2172">
        <v>2702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795</v>
      </c>
      <c r="AJ2172">
        <v>741</v>
      </c>
      <c r="AK2172">
        <v>0</v>
      </c>
      <c r="AL2172">
        <f t="shared" si="33"/>
        <v>849</v>
      </c>
      <c r="AM2172">
        <f>IF(OR(Table1[[#This Row],[marital_Married]]=1,Table1[[#This Row],[marital_Together]]=1),1,0)</f>
        <v>1</v>
      </c>
      <c r="AN2172" t="str">
        <f>IF(Table1[[#This Row],[Income]]&gt;=70000,"HIGH INCOME","LOW INCOME")</f>
        <v>HIGH INCOME</v>
      </c>
      <c r="AO2172" s="1" t="str">
        <f>IF(Table1[[#This Row],[MNT_TOTAL]]&gt;=900,"HIGH VALUE","LOW VALUE")</f>
        <v>LOW VALUE</v>
      </c>
      <c r="AP217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2" s="1"/>
      <c r="AR2172" s="1"/>
    </row>
    <row r="2173" spans="1:44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30</v>
      </c>
      <c r="X2173">
        <v>2657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67</v>
      </c>
      <c r="AJ2173">
        <v>49</v>
      </c>
      <c r="AK2173">
        <v>0</v>
      </c>
      <c r="AL2173">
        <f t="shared" si="33"/>
        <v>85</v>
      </c>
      <c r="AM2173">
        <f>IF(OR(Table1[[#This Row],[marital_Married]]=1,Table1[[#This Row],[marital_Together]]=1),1,0)</f>
        <v>1</v>
      </c>
      <c r="AN2173" t="str">
        <f>IF(Table1[[#This Row],[Income]]&gt;=70000,"HIGH INCOME","LOW INCOME")</f>
        <v>LOW INCOME</v>
      </c>
      <c r="AO2173" s="1" t="str">
        <f>IF(Table1[[#This Row],[MNT_TOTAL]]&gt;=900,"HIGH VALUE","LOW VALUE")</f>
        <v>LOW VALUE</v>
      </c>
      <c r="AP217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73" s="1"/>
      <c r="AR2173" s="1"/>
    </row>
    <row r="2174" spans="1:44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52</v>
      </c>
      <c r="X2174">
        <v>2781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181</v>
      </c>
      <c r="AJ2174">
        <v>163</v>
      </c>
      <c r="AK2174">
        <v>0</v>
      </c>
      <c r="AL2174">
        <f t="shared" si="33"/>
        <v>199</v>
      </c>
      <c r="AM2174">
        <f>IF(OR(Table1[[#This Row],[marital_Married]]=1,Table1[[#This Row],[marital_Together]]=1),1,0)</f>
        <v>0</v>
      </c>
      <c r="AN2174" t="str">
        <f>IF(Table1[[#This Row],[Income]]&gt;=70000,"HIGH INCOME","LOW INCOME")</f>
        <v>LOW INCOME</v>
      </c>
      <c r="AO2174" s="1" t="str">
        <f>IF(Table1[[#This Row],[MNT_TOTAL]]&gt;=900,"HIGH VALUE","LOW VALUE")</f>
        <v>LOW VALUE</v>
      </c>
      <c r="AP217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4" s="1"/>
      <c r="AR2174" s="1"/>
    </row>
    <row r="2175" spans="1:44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40</v>
      </c>
      <c r="X2175">
        <v>2846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1118</v>
      </c>
      <c r="AJ2175">
        <v>1089</v>
      </c>
      <c r="AK2175">
        <v>0</v>
      </c>
      <c r="AL2175">
        <f t="shared" si="33"/>
        <v>1147</v>
      </c>
      <c r="AM2175">
        <f>IF(OR(Table1[[#This Row],[marital_Married]]=1,Table1[[#This Row],[marital_Together]]=1),1,0)</f>
        <v>1</v>
      </c>
      <c r="AN2175" t="str">
        <f>IF(Table1[[#This Row],[Income]]&gt;=70000,"HIGH INCOME","LOW INCOME")</f>
        <v>LOW INCOME</v>
      </c>
      <c r="AO2175" s="1" t="str">
        <f>IF(Table1[[#This Row],[MNT_TOTAL]]&gt;=900,"HIGH VALUE","LOW VALUE")</f>
        <v>HIGH VALUE</v>
      </c>
      <c r="AP217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5" s="1"/>
      <c r="AR2175" s="1"/>
    </row>
    <row r="2176" spans="1:44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66</v>
      </c>
      <c r="X2176">
        <v>2257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51</v>
      </c>
      <c r="AJ2176">
        <v>48</v>
      </c>
      <c r="AK2176">
        <v>1</v>
      </c>
      <c r="AL2176">
        <f t="shared" si="33"/>
        <v>54</v>
      </c>
      <c r="AM2176">
        <f>IF(OR(Table1[[#This Row],[marital_Married]]=1,Table1[[#This Row],[marital_Together]]=1),1,0)</f>
        <v>1</v>
      </c>
      <c r="AN2176" t="str">
        <f>IF(Table1[[#This Row],[Income]]&gt;=70000,"HIGH INCOME","LOW INCOME")</f>
        <v>LOW INCOME</v>
      </c>
      <c r="AO2176" s="1" t="str">
        <f>IF(Table1[[#This Row],[MNT_TOTAL]]&gt;=900,"HIGH VALUE","LOW VALUE")</f>
        <v>LOW VALUE</v>
      </c>
      <c r="AP217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76" s="1"/>
      <c r="AR2176" s="1"/>
    </row>
    <row r="2177" spans="1:44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57</v>
      </c>
      <c r="X2177">
        <v>2728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28</v>
      </c>
      <c r="AJ2177">
        <v>13</v>
      </c>
      <c r="AK2177">
        <v>0</v>
      </c>
      <c r="AL2177">
        <f t="shared" si="33"/>
        <v>43</v>
      </c>
      <c r="AM2177">
        <f>IF(OR(Table1[[#This Row],[marital_Married]]=1,Table1[[#This Row],[marital_Together]]=1),1,0)</f>
        <v>1</v>
      </c>
      <c r="AN2177" t="str">
        <f>IF(Table1[[#This Row],[Income]]&gt;=70000,"HIGH INCOME","LOW INCOME")</f>
        <v>LOW INCOME</v>
      </c>
      <c r="AO2177" s="1" t="str">
        <f>IF(Table1[[#This Row],[MNT_TOTAL]]&gt;=900,"HIGH VALUE","LOW VALUE")</f>
        <v>LOW VALUE</v>
      </c>
      <c r="AP217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77" s="1"/>
      <c r="AR2177" s="1"/>
    </row>
    <row r="2178" spans="1:44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57</v>
      </c>
      <c r="X2178">
        <v>2508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38</v>
      </c>
      <c r="AJ2178">
        <v>23</v>
      </c>
      <c r="AK2178">
        <v>0</v>
      </c>
      <c r="AL2178">
        <f t="shared" ref="AL2178:AL2206" si="34">SUM(E2178:J2178)</f>
        <v>53</v>
      </c>
      <c r="AM2178">
        <f>IF(OR(Table1[[#This Row],[marital_Married]]=1,Table1[[#This Row],[marital_Together]]=1),1,0)</f>
        <v>0</v>
      </c>
      <c r="AN2178" t="str">
        <f>IF(Table1[[#This Row],[Income]]&gt;=70000,"HIGH INCOME","LOW INCOME")</f>
        <v>LOW INCOME</v>
      </c>
      <c r="AO2178" s="1" t="str">
        <f>IF(Table1[[#This Row],[MNT_TOTAL]]&gt;=900,"HIGH VALUE","LOW VALUE")</f>
        <v>LOW VALUE</v>
      </c>
      <c r="AP217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8" s="1"/>
      <c r="AR2178" s="1"/>
    </row>
    <row r="2179" spans="1:44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65</v>
      </c>
      <c r="X2179">
        <v>2660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494</v>
      </c>
      <c r="AJ2179">
        <v>467</v>
      </c>
      <c r="AK2179">
        <v>0</v>
      </c>
      <c r="AL2179">
        <f t="shared" si="34"/>
        <v>521</v>
      </c>
      <c r="AM2179">
        <f>IF(OR(Table1[[#This Row],[marital_Married]]=1,Table1[[#This Row],[marital_Together]]=1),1,0)</f>
        <v>0</v>
      </c>
      <c r="AN2179" t="str">
        <f>IF(Table1[[#This Row],[Income]]&gt;=70000,"HIGH INCOME","LOW INCOME")</f>
        <v>LOW INCOME</v>
      </c>
      <c r="AO2179" s="1" t="str">
        <f>IF(Table1[[#This Row],[MNT_TOTAL]]&gt;=900,"HIGH VALUE","LOW VALUE")</f>
        <v>LOW VALUE</v>
      </c>
      <c r="AP217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79" s="1"/>
      <c r="AR2179" s="1"/>
    </row>
    <row r="2180" spans="1:44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39</v>
      </c>
      <c r="X2180">
        <v>2303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1570</v>
      </c>
      <c r="AJ2180">
        <v>1517</v>
      </c>
      <c r="AK2180">
        <v>0</v>
      </c>
      <c r="AL2180">
        <f t="shared" si="34"/>
        <v>1623</v>
      </c>
      <c r="AM2180">
        <f>IF(OR(Table1[[#This Row],[marital_Married]]=1,Table1[[#This Row],[marital_Together]]=1),1,0)</f>
        <v>1</v>
      </c>
      <c r="AN2180" t="str">
        <f>IF(Table1[[#This Row],[Income]]&gt;=70000,"HIGH INCOME","LOW INCOME")</f>
        <v>HIGH INCOME</v>
      </c>
      <c r="AO2180" s="1" t="str">
        <f>IF(Table1[[#This Row],[MNT_TOTAL]]&gt;=900,"HIGH VALUE","LOW VALUE")</f>
        <v>HIGH VALUE</v>
      </c>
      <c r="AP218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Relationship</v>
      </c>
      <c r="AQ2180" s="1"/>
      <c r="AR2180" s="1"/>
    </row>
    <row r="2181" spans="1:44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70</v>
      </c>
      <c r="X2181">
        <v>2218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45</v>
      </c>
      <c r="AJ2181">
        <v>45</v>
      </c>
      <c r="AK2181">
        <v>0</v>
      </c>
      <c r="AL2181">
        <f t="shared" si="34"/>
        <v>45</v>
      </c>
      <c r="AM2181">
        <f>IF(OR(Table1[[#This Row],[marital_Married]]=1,Table1[[#This Row],[marital_Together]]=1),1,0)</f>
        <v>0</v>
      </c>
      <c r="AN2181" t="str">
        <f>IF(Table1[[#This Row],[Income]]&gt;=70000,"HIGH INCOME","LOW INCOME")</f>
        <v>LOW INCOME</v>
      </c>
      <c r="AO2181" s="1" t="str">
        <f>IF(Table1[[#This Row],[MNT_TOTAL]]&gt;=900,"HIGH VALUE","LOW VALUE")</f>
        <v>LOW VALUE</v>
      </c>
      <c r="AP218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81" s="1"/>
      <c r="AR2181" s="1"/>
    </row>
    <row r="2182" spans="1:44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25</v>
      </c>
      <c r="X2182">
        <v>2784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1403</v>
      </c>
      <c r="AJ2182">
        <v>1371</v>
      </c>
      <c r="AK2182">
        <v>0</v>
      </c>
      <c r="AL2182">
        <f t="shared" si="34"/>
        <v>1435</v>
      </c>
      <c r="AM2182">
        <f>IF(OR(Table1[[#This Row],[marital_Married]]=1,Table1[[#This Row],[marital_Together]]=1),1,0)</f>
        <v>0</v>
      </c>
      <c r="AN2182" t="str">
        <f>IF(Table1[[#This Row],[Income]]&gt;=70000,"HIGH INCOME","LOW INCOME")</f>
        <v>HIGH INCOME</v>
      </c>
      <c r="AO2182" s="1" t="str">
        <f>IF(Table1[[#This Row],[MNT_TOTAL]]&gt;=900,"HIGH VALUE","LOW VALUE")</f>
        <v>HIGH VALUE</v>
      </c>
      <c r="AP218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82" s="1"/>
      <c r="AR2182" s="1"/>
    </row>
    <row r="2183" spans="1:44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44</v>
      </c>
      <c r="X2183">
        <v>2493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27</v>
      </c>
      <c r="AJ2183">
        <v>22</v>
      </c>
      <c r="AK2183">
        <v>0</v>
      </c>
      <c r="AL2183">
        <f t="shared" si="34"/>
        <v>32</v>
      </c>
      <c r="AM2183">
        <f>IF(OR(Table1[[#This Row],[marital_Married]]=1,Table1[[#This Row],[marital_Together]]=1),1,0)</f>
        <v>1</v>
      </c>
      <c r="AN2183" t="str">
        <f>IF(Table1[[#This Row],[Income]]&gt;=70000,"HIGH INCOME","LOW INCOME")</f>
        <v>LOW INCOME</v>
      </c>
      <c r="AO2183" s="1" t="str">
        <f>IF(Table1[[#This Row],[MNT_TOTAL]]&gt;=900,"HIGH VALUE","LOW VALUE")</f>
        <v>LOW VALUE</v>
      </c>
      <c r="AP218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3" s="1"/>
      <c r="AR2183" s="1"/>
    </row>
    <row r="2184" spans="1:44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66</v>
      </c>
      <c r="X2184">
        <v>2715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11</v>
      </c>
      <c r="AJ2184">
        <v>6</v>
      </c>
      <c r="AK2184">
        <v>0</v>
      </c>
      <c r="AL2184">
        <f t="shared" si="34"/>
        <v>16</v>
      </c>
      <c r="AM2184">
        <f>IF(OR(Table1[[#This Row],[marital_Married]]=1,Table1[[#This Row],[marital_Together]]=1),1,0)</f>
        <v>1</v>
      </c>
      <c r="AN2184" t="str">
        <f>IF(Table1[[#This Row],[Income]]&gt;=70000,"HIGH INCOME","LOW INCOME")</f>
        <v>LOW INCOME</v>
      </c>
      <c r="AO2184" s="1" t="str">
        <f>IF(Table1[[#This Row],[MNT_TOTAL]]&gt;=900,"HIGH VALUE","LOW VALUE")</f>
        <v>LOW VALUE</v>
      </c>
      <c r="AP218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4" s="1"/>
      <c r="AR2184" s="1"/>
    </row>
    <row r="2185" spans="1:44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37</v>
      </c>
      <c r="X2185">
        <v>2624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46</v>
      </c>
      <c r="AJ2185">
        <v>40</v>
      </c>
      <c r="AK2185">
        <v>0</v>
      </c>
      <c r="AL2185">
        <f t="shared" si="34"/>
        <v>52</v>
      </c>
      <c r="AM2185">
        <f>IF(OR(Table1[[#This Row],[marital_Married]]=1,Table1[[#This Row],[marital_Together]]=1),1,0)</f>
        <v>1</v>
      </c>
      <c r="AN2185" t="str">
        <f>IF(Table1[[#This Row],[Income]]&gt;=70000,"HIGH INCOME","LOW INCOME")</f>
        <v>LOW INCOME</v>
      </c>
      <c r="AO2185" s="1" t="str">
        <f>IF(Table1[[#This Row],[MNT_TOTAL]]&gt;=900,"HIGH VALUE","LOW VALUE")</f>
        <v>LOW VALUE</v>
      </c>
      <c r="AP218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5" s="1"/>
      <c r="AR2185" s="1"/>
    </row>
    <row r="2186" spans="1:44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72</v>
      </c>
      <c r="X2186">
        <v>2244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1177</v>
      </c>
      <c r="AJ2186">
        <v>1120</v>
      </c>
      <c r="AK2186">
        <v>0</v>
      </c>
      <c r="AL2186">
        <f t="shared" si="34"/>
        <v>1234</v>
      </c>
      <c r="AM2186">
        <f>IF(OR(Table1[[#This Row],[marital_Married]]=1,Table1[[#This Row],[marital_Together]]=1),1,0)</f>
        <v>0</v>
      </c>
      <c r="AN2186" t="str">
        <f>IF(Table1[[#This Row],[Income]]&gt;=70000,"HIGH INCOME","LOW INCOME")</f>
        <v>HIGH INCOME</v>
      </c>
      <c r="AO2186" s="1" t="str">
        <f>IF(Table1[[#This Row],[MNT_TOTAL]]&gt;=900,"HIGH VALUE","LOW VALUE")</f>
        <v>HIGH VALUE</v>
      </c>
      <c r="AP218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86" s="1"/>
      <c r="AR2186" s="1"/>
    </row>
    <row r="2187" spans="1:44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42</v>
      </c>
      <c r="X2187">
        <v>2534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14</v>
      </c>
      <c r="AJ2187">
        <v>13</v>
      </c>
      <c r="AK2187">
        <v>0</v>
      </c>
      <c r="AL2187">
        <f t="shared" si="34"/>
        <v>15</v>
      </c>
      <c r="AM2187">
        <f>IF(OR(Table1[[#This Row],[marital_Married]]=1,Table1[[#This Row],[marital_Together]]=1),1,0)</f>
        <v>1</v>
      </c>
      <c r="AN2187" t="str">
        <f>IF(Table1[[#This Row],[Income]]&gt;=70000,"HIGH INCOME","LOW INCOME")</f>
        <v>LOW INCOME</v>
      </c>
      <c r="AO2187" s="1" t="str">
        <f>IF(Table1[[#This Row],[MNT_TOTAL]]&gt;=900,"HIGH VALUE","LOW VALUE")</f>
        <v>LOW VALUE</v>
      </c>
      <c r="AP218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7" s="1"/>
      <c r="AR2187" s="1"/>
    </row>
    <row r="2188" spans="1:44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35</v>
      </c>
      <c r="X2188">
        <v>2782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353</v>
      </c>
      <c r="AJ2188">
        <v>291</v>
      </c>
      <c r="AK2188">
        <v>0</v>
      </c>
      <c r="AL2188">
        <f t="shared" si="34"/>
        <v>415</v>
      </c>
      <c r="AM2188">
        <f>IF(OR(Table1[[#This Row],[marital_Married]]=1,Table1[[#This Row],[marital_Together]]=1),1,0)</f>
        <v>1</v>
      </c>
      <c r="AN2188" t="str">
        <f>IF(Table1[[#This Row],[Income]]&gt;=70000,"HIGH INCOME","LOW INCOME")</f>
        <v>LOW INCOME</v>
      </c>
      <c r="AO2188" s="1" t="str">
        <f>IF(Table1[[#This Row],[MNT_TOTAL]]&gt;=900,"HIGH VALUE","LOW VALUE")</f>
        <v>LOW VALUE</v>
      </c>
      <c r="AP218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8" s="1"/>
      <c r="AR2188" s="1"/>
    </row>
    <row r="2189" spans="1:44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41</v>
      </c>
      <c r="X2189">
        <v>2374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448</v>
      </c>
      <c r="AJ2189">
        <v>426</v>
      </c>
      <c r="AK2189">
        <v>0</v>
      </c>
      <c r="AL2189">
        <f t="shared" si="34"/>
        <v>470</v>
      </c>
      <c r="AM2189">
        <f>IF(OR(Table1[[#This Row],[marital_Married]]=1,Table1[[#This Row],[marital_Together]]=1),1,0)</f>
        <v>1</v>
      </c>
      <c r="AN2189" t="str">
        <f>IF(Table1[[#This Row],[Income]]&gt;=70000,"HIGH INCOME","LOW INCOME")</f>
        <v>LOW INCOME</v>
      </c>
      <c r="AO2189" s="1" t="str">
        <f>IF(Table1[[#This Row],[MNT_TOTAL]]&gt;=900,"HIGH VALUE","LOW VALUE")</f>
        <v>LOW VALUE</v>
      </c>
      <c r="AP218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89" s="1"/>
      <c r="AR2189" s="1"/>
    </row>
    <row r="2190" spans="1:44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1</v>
      </c>
      <c r="W2190">
        <v>38</v>
      </c>
      <c r="X2190">
        <v>2519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1358</v>
      </c>
      <c r="AJ2190">
        <v>1278</v>
      </c>
      <c r="AK2190">
        <v>2</v>
      </c>
      <c r="AL2190">
        <f t="shared" si="34"/>
        <v>1438</v>
      </c>
      <c r="AM2190">
        <f>IF(OR(Table1[[#This Row],[marital_Married]]=1,Table1[[#This Row],[marital_Together]]=1),1,0)</f>
        <v>0</v>
      </c>
      <c r="AN2190" t="str">
        <f>IF(Table1[[#This Row],[Income]]&gt;=70000,"HIGH INCOME","LOW INCOME")</f>
        <v>HIGH INCOME</v>
      </c>
      <c r="AO2190" s="1" t="str">
        <f>IF(Table1[[#This Row],[MNT_TOTAL]]&gt;=900,"HIGH VALUE","LOW VALUE")</f>
        <v>HIGH VALUE</v>
      </c>
      <c r="AP219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High Value – Single</v>
      </c>
      <c r="AQ2190" s="1"/>
      <c r="AR2190" s="1"/>
    </row>
    <row r="2191" spans="1:44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41</v>
      </c>
      <c r="X2191">
        <v>2577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32</v>
      </c>
      <c r="AJ2191">
        <v>11</v>
      </c>
      <c r="AK2191">
        <v>0</v>
      </c>
      <c r="AL2191">
        <f t="shared" si="34"/>
        <v>53</v>
      </c>
      <c r="AM2191">
        <f>IF(OR(Table1[[#This Row],[marital_Married]]=1,Table1[[#This Row],[marital_Together]]=1),1,0)</f>
        <v>1</v>
      </c>
      <c r="AN2191" t="str">
        <f>IF(Table1[[#This Row],[Income]]&gt;=70000,"HIGH INCOME","LOW INCOME")</f>
        <v>LOW INCOME</v>
      </c>
      <c r="AO2191" s="1" t="str">
        <f>IF(Table1[[#This Row],[MNT_TOTAL]]&gt;=900,"HIGH VALUE","LOW VALUE")</f>
        <v>LOW VALUE</v>
      </c>
      <c r="AP219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91" s="1"/>
      <c r="AR2191" s="1"/>
    </row>
    <row r="2192" spans="1:44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57</v>
      </c>
      <c r="X2192">
        <v>2163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48</v>
      </c>
      <c r="AJ2192">
        <v>45</v>
      </c>
      <c r="AK2192">
        <v>0</v>
      </c>
      <c r="AL2192">
        <f t="shared" si="34"/>
        <v>51</v>
      </c>
      <c r="AM2192">
        <f>IF(OR(Table1[[#This Row],[marital_Married]]=1,Table1[[#This Row],[marital_Together]]=1),1,0)</f>
        <v>1</v>
      </c>
      <c r="AN2192" t="str">
        <f>IF(Table1[[#This Row],[Income]]&gt;=70000,"HIGH INCOME","LOW INCOME")</f>
        <v>LOW INCOME</v>
      </c>
      <c r="AO2192" s="1" t="str">
        <f>IF(Table1[[#This Row],[MNT_TOTAL]]&gt;=900,"HIGH VALUE","LOW VALUE")</f>
        <v>LOW VALUE</v>
      </c>
      <c r="AP219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92" s="1"/>
      <c r="AR2192" s="1"/>
    </row>
    <row r="2193" spans="1:44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50</v>
      </c>
      <c r="X2193">
        <v>2330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652</v>
      </c>
      <c r="AJ2193">
        <v>625</v>
      </c>
      <c r="AK2193">
        <v>1</v>
      </c>
      <c r="AL2193">
        <f t="shared" si="34"/>
        <v>679</v>
      </c>
      <c r="AM2193">
        <f>IF(OR(Table1[[#This Row],[marital_Married]]=1,Table1[[#This Row],[marital_Together]]=1),1,0)</f>
        <v>0</v>
      </c>
      <c r="AN2193" t="str">
        <f>IF(Table1[[#This Row],[Income]]&gt;=70000,"HIGH INCOME","LOW INCOME")</f>
        <v>LOW INCOME</v>
      </c>
      <c r="AO2193" s="1" t="str">
        <f>IF(Table1[[#This Row],[MNT_TOTAL]]&gt;=900,"HIGH VALUE","LOW VALUE")</f>
        <v>LOW VALUE</v>
      </c>
      <c r="AP219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93" s="1"/>
      <c r="AR2193" s="1"/>
    </row>
    <row r="2194" spans="1:44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52</v>
      </c>
      <c r="X2194">
        <v>2800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498</v>
      </c>
      <c r="AJ2194">
        <v>410</v>
      </c>
      <c r="AK2194">
        <v>0</v>
      </c>
      <c r="AL2194">
        <f t="shared" si="34"/>
        <v>586</v>
      </c>
      <c r="AM2194">
        <f>IF(OR(Table1[[#This Row],[marital_Married]]=1,Table1[[#This Row],[marital_Together]]=1),1,0)</f>
        <v>1</v>
      </c>
      <c r="AN2194" t="str">
        <f>IF(Table1[[#This Row],[Income]]&gt;=70000,"HIGH INCOME","LOW INCOME")</f>
        <v>LOW INCOME</v>
      </c>
      <c r="AO2194" s="1" t="str">
        <f>IF(Table1[[#This Row],[MNT_TOTAL]]&gt;=900,"HIGH VALUE","LOW VALUE")</f>
        <v>LOW VALUE</v>
      </c>
      <c r="AP219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94" s="1"/>
      <c r="AR2194" s="1"/>
    </row>
    <row r="2195" spans="1:44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41</v>
      </c>
      <c r="X2195">
        <v>2621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600</v>
      </c>
      <c r="AJ2195">
        <v>547</v>
      </c>
      <c r="AK2195">
        <v>0</v>
      </c>
      <c r="AL2195">
        <f t="shared" si="34"/>
        <v>653</v>
      </c>
      <c r="AM2195">
        <f>IF(OR(Table1[[#This Row],[marital_Married]]=1,Table1[[#This Row],[marital_Together]]=1),1,0)</f>
        <v>1</v>
      </c>
      <c r="AN2195" t="str">
        <f>IF(Table1[[#This Row],[Income]]&gt;=70000,"HIGH INCOME","LOW INCOME")</f>
        <v>LOW INCOME</v>
      </c>
      <c r="AO2195" s="1" t="str">
        <f>IF(Table1[[#This Row],[MNT_TOTAL]]&gt;=900,"HIGH VALUE","LOW VALUE")</f>
        <v>LOW VALUE</v>
      </c>
      <c r="AP219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95" s="1"/>
      <c r="AR2195" s="1"/>
    </row>
    <row r="2196" spans="1:44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58</v>
      </c>
      <c r="X2196">
        <v>2642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377</v>
      </c>
      <c r="AJ2196">
        <v>286</v>
      </c>
      <c r="AK2196">
        <v>0</v>
      </c>
      <c r="AL2196">
        <f t="shared" si="34"/>
        <v>468</v>
      </c>
      <c r="AM2196">
        <f>IF(OR(Table1[[#This Row],[marital_Married]]=1,Table1[[#This Row],[marital_Together]]=1),1,0)</f>
        <v>0</v>
      </c>
      <c r="AN2196" t="str">
        <f>IF(Table1[[#This Row],[Income]]&gt;=70000,"HIGH INCOME","LOW INCOME")</f>
        <v>LOW INCOME</v>
      </c>
      <c r="AO2196" s="1" t="str">
        <f>IF(Table1[[#This Row],[MNT_TOTAL]]&gt;=900,"HIGH VALUE","LOW VALUE")</f>
        <v>LOW VALUE</v>
      </c>
      <c r="AP219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96" s="1"/>
      <c r="AR2196" s="1"/>
    </row>
    <row r="2197" spans="1:44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48</v>
      </c>
      <c r="X2197">
        <v>2201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33</v>
      </c>
      <c r="AJ2197">
        <v>16</v>
      </c>
      <c r="AK2197">
        <v>0</v>
      </c>
      <c r="AL2197">
        <f t="shared" si="34"/>
        <v>50</v>
      </c>
      <c r="AM2197">
        <f>IF(OR(Table1[[#This Row],[marital_Married]]=1,Table1[[#This Row],[marital_Together]]=1),1,0)</f>
        <v>1</v>
      </c>
      <c r="AN2197" t="str">
        <f>IF(Table1[[#This Row],[Income]]&gt;=70000,"HIGH INCOME","LOW INCOME")</f>
        <v>LOW INCOME</v>
      </c>
      <c r="AO2197" s="1" t="str">
        <f>IF(Table1[[#This Row],[MNT_TOTAL]]&gt;=900,"HIGH VALUE","LOW VALUE")</f>
        <v>LOW VALUE</v>
      </c>
      <c r="AP2197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197" s="1"/>
      <c r="AR2197" s="1"/>
    </row>
    <row r="2198" spans="1:44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36</v>
      </c>
      <c r="X2198">
        <v>2629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61</v>
      </c>
      <c r="AJ2198">
        <v>38</v>
      </c>
      <c r="AK2198">
        <v>1</v>
      </c>
      <c r="AL2198">
        <f t="shared" si="34"/>
        <v>84</v>
      </c>
      <c r="AM2198">
        <f>IF(OR(Table1[[#This Row],[marital_Married]]=1,Table1[[#This Row],[marital_Together]]=1),1,0)</f>
        <v>0</v>
      </c>
      <c r="AN2198" t="str">
        <f>IF(Table1[[#This Row],[Income]]&gt;=70000,"HIGH INCOME","LOW INCOME")</f>
        <v>LOW INCOME</v>
      </c>
      <c r="AO2198" s="1" t="str">
        <f>IF(Table1[[#This Row],[MNT_TOTAL]]&gt;=900,"HIGH VALUE","LOW VALUE")</f>
        <v>LOW VALUE</v>
      </c>
      <c r="AP2198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98" s="1"/>
      <c r="AR2198" s="1"/>
    </row>
    <row r="2199" spans="1:44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50</v>
      </c>
      <c r="X2199">
        <v>2836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1029</v>
      </c>
      <c r="AJ2199">
        <v>1009</v>
      </c>
      <c r="AK2199">
        <v>0</v>
      </c>
      <c r="AL2199">
        <f t="shared" si="34"/>
        <v>1049</v>
      </c>
      <c r="AM2199">
        <f>IF(OR(Table1[[#This Row],[marital_Married]]=1,Table1[[#This Row],[marital_Together]]=1),1,0)</f>
        <v>0</v>
      </c>
      <c r="AN2199" t="str">
        <f>IF(Table1[[#This Row],[Income]]&gt;=70000,"HIGH INCOME","LOW INCOME")</f>
        <v>LOW INCOME</v>
      </c>
      <c r="AO2199" s="1" t="str">
        <f>IF(Table1[[#This Row],[MNT_TOTAL]]&gt;=900,"HIGH VALUE","LOW VALUE")</f>
        <v>HIGH VALUE</v>
      </c>
      <c r="AP2199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199" s="1"/>
      <c r="AR2199" s="1"/>
    </row>
    <row r="2200" spans="1:44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34</v>
      </c>
      <c r="X2200">
        <v>2840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19</v>
      </c>
      <c r="AJ2200">
        <v>16</v>
      </c>
      <c r="AK2200">
        <v>0</v>
      </c>
      <c r="AL2200">
        <f t="shared" si="34"/>
        <v>22</v>
      </c>
      <c r="AM2200">
        <f>IF(OR(Table1[[#This Row],[marital_Married]]=1,Table1[[#This Row],[marital_Together]]=1),1,0)</f>
        <v>0</v>
      </c>
      <c r="AN2200" t="str">
        <f>IF(Table1[[#This Row],[Income]]&gt;=70000,"HIGH INCOME","LOW INCOME")</f>
        <v>LOW INCOME</v>
      </c>
      <c r="AO2200" s="1" t="str">
        <f>IF(Table1[[#This Row],[MNT_TOTAL]]&gt;=900,"HIGH VALUE","LOW VALUE")</f>
        <v>LOW VALUE</v>
      </c>
      <c r="AP2200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00" s="1"/>
      <c r="AR2200" s="1"/>
    </row>
    <row r="2201" spans="1:44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46</v>
      </c>
      <c r="X2201">
        <v>2522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21</v>
      </c>
      <c r="AJ2201">
        <v>12</v>
      </c>
      <c r="AK2201">
        <v>0</v>
      </c>
      <c r="AL2201">
        <f t="shared" si="34"/>
        <v>30</v>
      </c>
      <c r="AM2201">
        <f>IF(OR(Table1[[#This Row],[marital_Married]]=1,Table1[[#This Row],[marital_Together]]=1),1,0)</f>
        <v>1</v>
      </c>
      <c r="AN2201" t="str">
        <f>IF(Table1[[#This Row],[Income]]&gt;=70000,"HIGH INCOME","LOW INCOME")</f>
        <v>LOW INCOME</v>
      </c>
      <c r="AO2201" s="1" t="str">
        <f>IF(Table1[[#This Row],[MNT_TOTAL]]&gt;=900,"HIGH VALUE","LOW VALUE")</f>
        <v>LOW VALUE</v>
      </c>
      <c r="AP2201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01" s="1"/>
      <c r="AR2201" s="1"/>
    </row>
    <row r="2202" spans="1:44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53</v>
      </c>
      <c r="X2202">
        <v>2540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1094</v>
      </c>
      <c r="AJ2202">
        <v>847</v>
      </c>
      <c r="AK2202">
        <v>0</v>
      </c>
      <c r="AL2202">
        <f t="shared" si="34"/>
        <v>1341</v>
      </c>
      <c r="AM2202">
        <f>IF(OR(Table1[[#This Row],[marital_Married]]=1,Table1[[#This Row],[marital_Together]]=1),1,0)</f>
        <v>1</v>
      </c>
      <c r="AN2202" t="str">
        <f>IF(Table1[[#This Row],[Income]]&gt;=70000,"HIGH INCOME","LOW INCOME")</f>
        <v>LOW INCOME</v>
      </c>
      <c r="AO2202" s="1" t="str">
        <f>IF(Table1[[#This Row],[MNT_TOTAL]]&gt;=900,"HIGH VALUE","LOW VALUE")</f>
        <v>HIGH VALUE</v>
      </c>
      <c r="AP2202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02" s="1"/>
      <c r="AR2202" s="1"/>
    </row>
    <row r="2203" spans="1:44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74</v>
      </c>
      <c r="X2203">
        <v>2178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436</v>
      </c>
      <c r="AJ2203">
        <v>428</v>
      </c>
      <c r="AK2203">
        <v>1</v>
      </c>
      <c r="AL2203">
        <f t="shared" si="34"/>
        <v>444</v>
      </c>
      <c r="AM2203">
        <f>IF(OR(Table1[[#This Row],[marital_Married]]=1,Table1[[#This Row],[marital_Together]]=1),1,0)</f>
        <v>1</v>
      </c>
      <c r="AN2203" t="str">
        <f>IF(Table1[[#This Row],[Income]]&gt;=70000,"HIGH INCOME","LOW INCOME")</f>
        <v>LOW INCOME</v>
      </c>
      <c r="AO2203" s="1" t="str">
        <f>IF(Table1[[#This Row],[MNT_TOTAL]]&gt;=900,"HIGH VALUE","LOW VALUE")</f>
        <v>LOW VALUE</v>
      </c>
      <c r="AP2203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03" s="1"/>
      <c r="AR2203" s="1"/>
    </row>
    <row r="2204" spans="1:44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39</v>
      </c>
      <c r="X2204">
        <v>2314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1217</v>
      </c>
      <c r="AJ2204">
        <v>1193</v>
      </c>
      <c r="AK2204">
        <v>1</v>
      </c>
      <c r="AL2204">
        <f t="shared" si="34"/>
        <v>1241</v>
      </c>
      <c r="AM2204">
        <f>IF(OR(Table1[[#This Row],[marital_Married]]=1,Table1[[#This Row],[marital_Together]]=1),1,0)</f>
        <v>0</v>
      </c>
      <c r="AN2204" t="str">
        <f>IF(Table1[[#This Row],[Income]]&gt;=70000,"HIGH INCOME","LOW INCOME")</f>
        <v>LOW INCOME</v>
      </c>
      <c r="AO2204" s="1" t="str">
        <f>IF(Table1[[#This Row],[MNT_TOTAL]]&gt;=900,"HIGH VALUE","LOW VALUE")</f>
        <v>HIGH VALUE</v>
      </c>
      <c r="AP2204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Single</v>
      </c>
      <c r="AQ2204" s="1"/>
      <c r="AR2204" s="1"/>
    </row>
    <row r="2205" spans="1:44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64</v>
      </c>
      <c r="X2205">
        <v>2315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782</v>
      </c>
      <c r="AJ2205">
        <v>721</v>
      </c>
      <c r="AK2205">
        <v>0</v>
      </c>
      <c r="AL2205">
        <f t="shared" si="34"/>
        <v>843</v>
      </c>
      <c r="AM2205">
        <f>IF(OR(Table1[[#This Row],[marital_Married]]=1,Table1[[#This Row],[marital_Together]]=1),1,0)</f>
        <v>1</v>
      </c>
      <c r="AN2205" t="str">
        <f>IF(Table1[[#This Row],[Income]]&gt;=70000,"HIGH INCOME","LOW INCOME")</f>
        <v>LOW INCOME</v>
      </c>
      <c r="AO2205" s="1" t="str">
        <f>IF(Table1[[#This Row],[MNT_TOTAL]]&gt;=900,"HIGH VALUE","LOW VALUE")</f>
        <v>LOW VALUE</v>
      </c>
      <c r="AP2205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05" s="1"/>
      <c r="AR2205" s="1"/>
    </row>
    <row r="2206" spans="1:44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66</v>
      </c>
      <c r="X2206">
        <v>2781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151</v>
      </c>
      <c r="AJ2206">
        <v>130</v>
      </c>
      <c r="AK2206">
        <v>0</v>
      </c>
      <c r="AL2206">
        <f t="shared" si="34"/>
        <v>172</v>
      </c>
      <c r="AM2206">
        <f>IF(OR(Table1[[#This Row],[marital_Married]]=1,Table1[[#This Row],[marital_Together]]=1),1,0)</f>
        <v>1</v>
      </c>
      <c r="AN2206" t="str">
        <f>IF(Table1[[#This Row],[Income]]&gt;=70000,"HIGH INCOME","LOW INCOME")</f>
        <v>LOW INCOME</v>
      </c>
      <c r="AO2206" s="1" t="str">
        <f>IF(Table1[[#This Row],[MNT_TOTAL]]&gt;=900,"HIGH VALUE","LOW VALUE")</f>
        <v>LOW VALUE</v>
      </c>
      <c r="AP2206" s="1" t="str">
        <f>IF(AND(Table1[[#This Row],[INCOME_GROUP]]="High Income",Table1[[#This Row],[SPENDING_GROUP]]="High Value",Table1[[#This Row],[IN_RELATION]]=1),
"High Value – Relationship",
IF(AND(Table1[[#This Row],[INCOME_GROUP]]="High Income",Table1[[#This Row],[SPENDING_GROUP]]="High Value",Table1[[#This Row],[IN_RELATION]]=0),
"High Value – Single",
IF(AND(Table1[[#This Row],[INCOME_GROUP]]="Low Income",Table1[[#This Row],[SPENDING_GROUP]]="Low Value",Table1[[#This Row],[IN_RELATION]]=1),
"Low Value – Relationship",
"Low Value – Single")))</f>
        <v>Low Value – Relationship</v>
      </c>
      <c r="AQ2206" s="1"/>
      <c r="AR220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2026-01-06T11:44:32Z</dcterms:created>
  <dcterms:modified xsi:type="dcterms:W3CDTF">2026-01-06T17:43:32Z</dcterms:modified>
  <cp:category/>
  <cp:contentStatus/>
</cp:coreProperties>
</file>